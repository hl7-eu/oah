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/Users/oscar/Il mio Drive (altrove3000@gmail.com)/# PROJECTS/"/>
    </mc:Choice>
  </mc:AlternateContent>
  <xr:revisionPtr revIDLastSave="53" documentId="13_ncr:1_{BC6C5301-2BFE-4C4A-BFAF-9CDCCE2304B5}" xr6:coauthVersionLast="47" xr6:coauthVersionMax="47" xr10:uidLastSave="{8D962C1D-1E4B-4486-B26B-E50A092E24AB}"/>
  <bookViews>
    <workbookView xWindow="0" yWindow="760" windowWidth="29800" windowHeight="17320" firstSheet="2" activeTab="2" xr2:uid="{69A1DF1F-9BBE-8443-92DE-320D6E9C2614}"/>
  </bookViews>
  <sheets>
    <sheet name="Legenda" sheetId="5" r:id="rId1"/>
    <sheet name="2022_Causes of death" sheetId="7" r:id="rId2"/>
    <sheet name="2024_Disease prevalence (Aggr.)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7" l="1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C19" i="7"/>
  <c r="A17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EB01D4-6F5D-3445-A09A-F4190342A14A}" keepAlive="1" name="Query - filtered_dataset" description="Connessione alla query 'filtered_dataset' nella cartella di lavoro." type="5" refreshedVersion="6" background="1" saveData="1">
    <dbPr connection="Provider=Microsoft.Mashup.OleDb.1;Data Source=$Workbook$;Location=filtered_dataset;Extended Properties=&quot;&quot;" command="SELECT * FROM [filtered_dataset]"/>
  </connection>
</connections>
</file>

<file path=xl/sharedStrings.xml><?xml version="1.0" encoding="utf-8"?>
<sst xmlns="http://schemas.openxmlformats.org/spreadsheetml/2006/main" count="445" uniqueCount="112">
  <si>
    <t>BN Sample Site</t>
  </si>
  <si>
    <t>BN Parish</t>
  </si>
  <si>
    <t>BN1</t>
  </si>
  <si>
    <t>Capodimonte</t>
  </si>
  <si>
    <t>BN2</t>
  </si>
  <si>
    <t>Cretarossa</t>
  </si>
  <si>
    <t>BN3</t>
  </si>
  <si>
    <t>Ponticelli</t>
  </si>
  <si>
    <t>BN4</t>
  </si>
  <si>
    <t>Serretelle</t>
  </si>
  <si>
    <t>BN13</t>
  </si>
  <si>
    <t>BN5</t>
  </si>
  <si>
    <t>Torre Alfieri</t>
  </si>
  <si>
    <t>BN6</t>
  </si>
  <si>
    <t>San Chirico</t>
  </si>
  <si>
    <t>BN7</t>
  </si>
  <si>
    <t>Margiacca</t>
  </si>
  <si>
    <t>BN8</t>
  </si>
  <si>
    <t>Paduli</t>
  </si>
  <si>
    <t>BN9</t>
  </si>
  <si>
    <t>Masseria Grasso</t>
  </si>
  <si>
    <t>BN10</t>
  </si>
  <si>
    <t>Malacagna</t>
  </si>
  <si>
    <t>BN11</t>
  </si>
  <si>
    <t>Olivola</t>
  </si>
  <si>
    <t>BN12</t>
  </si>
  <si>
    <t>Sant'Angelo</t>
  </si>
  <si>
    <t>BN14</t>
  </si>
  <si>
    <t>Tufara Valle</t>
  </si>
  <si>
    <t>BN15</t>
  </si>
  <si>
    <t>Tressanti</t>
  </si>
  <si>
    <t>BN16</t>
  </si>
  <si>
    <t>BN17</t>
  </si>
  <si>
    <t>BN18</t>
  </si>
  <si>
    <t>Palmenta</t>
  </si>
  <si>
    <t>BN19</t>
  </si>
  <si>
    <t>BN20</t>
  </si>
  <si>
    <t>Ponte</t>
  </si>
  <si>
    <t># of deaths</t>
  </si>
  <si>
    <t>Cause of death</t>
  </si>
  <si>
    <t>BN4 + BN13</t>
  </si>
  <si>
    <t>BN15 + BN16</t>
  </si>
  <si>
    <t>TBC</t>
  </si>
  <si>
    <t>Viral Hepatitis</t>
  </si>
  <si>
    <t>infective and parasitic diseases</t>
  </si>
  <si>
    <t>diseases of the blood and hematopoietic organs</t>
  </si>
  <si>
    <t>Diabetes Mellitus</t>
  </si>
  <si>
    <t>endocrine, nutritional and metabolic diseases</t>
  </si>
  <si>
    <t>ischemic diseases of the heart</t>
  </si>
  <si>
    <t>other diseases of the heart</t>
  </si>
  <si>
    <t xml:space="preserve">other diseases of the circulatory system </t>
  </si>
  <si>
    <t>Pneumonia</t>
  </si>
  <si>
    <t>chronic diseases of the lower respiratory tract</t>
  </si>
  <si>
    <t>other diseases of the respiratory system</t>
  </si>
  <si>
    <t>diseases of the skin and subcutaneous tissue</t>
  </si>
  <si>
    <t>accidental poisoning</t>
  </si>
  <si>
    <t>Death related to our indicators</t>
  </si>
  <si>
    <t>Death related to indicators not relatable to OAH</t>
  </si>
  <si>
    <t>TOT death in Benevento</t>
  </si>
  <si>
    <t>Number of deaths per 100.000 inhabitants, per parish, for each of the causes considered as relatable to the project</t>
  </si>
  <si>
    <t>Indicators</t>
  </si>
  <si>
    <t>% Men</t>
  </si>
  <si>
    <t>% Women</t>
  </si>
  <si>
    <t>BN1M</t>
  </si>
  <si>
    <t>BN1W</t>
  </si>
  <si>
    <t>BN2M</t>
  </si>
  <si>
    <t>BN2W</t>
  </si>
  <si>
    <t>BN3M</t>
  </si>
  <si>
    <t>BN3W</t>
  </si>
  <si>
    <t>BN4M + BN13M</t>
  </si>
  <si>
    <t>BN4W + BN13W</t>
  </si>
  <si>
    <t>BN5M</t>
  </si>
  <si>
    <t>BN5W</t>
  </si>
  <si>
    <t>BN6M</t>
  </si>
  <si>
    <t>BN6W</t>
  </si>
  <si>
    <t>BN7M</t>
  </si>
  <si>
    <t>BN7W</t>
  </si>
  <si>
    <t>BN8M</t>
  </si>
  <si>
    <t>BN8W</t>
  </si>
  <si>
    <t>BN9M</t>
  </si>
  <si>
    <t>BN9W</t>
  </si>
  <si>
    <t>BN10M</t>
  </si>
  <si>
    <t>BN10W</t>
  </si>
  <si>
    <t>BN11M</t>
  </si>
  <si>
    <t>BN11W</t>
  </si>
  <si>
    <t>BN12M</t>
  </si>
  <si>
    <t>BN12W</t>
  </si>
  <si>
    <t>BN14M</t>
  </si>
  <si>
    <t>BN14W</t>
  </si>
  <si>
    <t>BN15M + BN16M</t>
  </si>
  <si>
    <t>BN15W + BN16W</t>
  </si>
  <si>
    <t>BN17M</t>
  </si>
  <si>
    <t>BN17W</t>
  </si>
  <si>
    <t>BN18M</t>
  </si>
  <si>
    <t>BN18W</t>
  </si>
  <si>
    <t>BN19M</t>
  </si>
  <si>
    <t>BN19W</t>
  </si>
  <si>
    <t>BN20M</t>
  </si>
  <si>
    <t>BN20W</t>
  </si>
  <si>
    <t>% of men and women aged 35-74 yo with high blood pressure (prevalence)</t>
  </si>
  <si>
    <t> </t>
  </si>
  <si>
    <t>% of men and women aged 35-74 yo under treatment for hypertension</t>
  </si>
  <si>
    <t>% of men and women aged 35-74 yo under treatment for high blood pressure</t>
  </si>
  <si>
    <t>% of men and women aged 35-74 yo affected from obesity</t>
  </si>
  <si>
    <t>% of men and women aged 35-74 yo with high total cholesterolemia (≥190 mg/dl)</t>
  </si>
  <si>
    <t>% of men and women aged 35-74 yo under treatment for hypercholesterolemia</t>
  </si>
  <si>
    <t>% of men and women aged 35-74 yo with high total cholesterolemia (≥240 mg/dl)</t>
  </si>
  <si>
    <t xml:space="preserve">% of men and women aged 35-74 yo with high blood sugar/diabetes </t>
  </si>
  <si>
    <t>% of men and women aged 35-74 yo under treatment for diabetes</t>
  </si>
  <si>
    <t>% of men and women aged 35-74 yo not engaging in physical activity</t>
  </si>
  <si>
    <t>% of men and women aged 35-74 yo affected from CVD</t>
  </si>
  <si>
    <t>Disease prevalence per parish, divided by sex, for each of the causes considered as relatable to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</si>
</sst>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i/>
      <sz val="14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</font>
    <font>
      <b/>
      <i/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D9D9D9"/>
        <bgColor rgb="FFFFFF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textRotation="90"/>
    </xf>
    <xf numFmtId="0" fontId="2" fillId="3" borderId="2" xfId="0" applyFont="1" applyFill="1" applyBorder="1" applyAlignment="1">
      <alignment horizontal="center" vertical="center" textRotation="90"/>
    </xf>
    <xf numFmtId="0" fontId="2" fillId="7" borderId="2" xfId="0" applyFont="1" applyFill="1" applyBorder="1" applyAlignment="1">
      <alignment horizontal="center" vertical="center" textRotation="90"/>
    </xf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2" borderId="3" xfId="0" applyFont="1" applyFill="1" applyBorder="1" applyAlignment="1">
      <alignment horizontal="center" vertical="center" textRotation="90"/>
    </xf>
    <xf numFmtId="0" fontId="2" fillId="3" borderId="3" xfId="0" applyFont="1" applyFill="1" applyBorder="1" applyAlignment="1">
      <alignment horizontal="center" vertical="center" textRotation="90"/>
    </xf>
    <xf numFmtId="0" fontId="2" fillId="7" borderId="3" xfId="0" applyFont="1" applyFill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</cellXfs>
  <cellStyles count="2">
    <cellStyle name="Normale" xfId="0" builtinId="0"/>
    <cellStyle name="Normale 2" xfId="1" xr:uid="{BEC31CEE-5CAD-C846-9EE7-DAA1BE51937E}"/>
  </cellStyles>
  <dxfs count="37"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vertical="center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vertical="center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vertical="center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D8421A-F764-0E42-9876-23EC55152937}" name="filtered_dataset346" displayName="filtered_dataset346" ref="A1:T15" totalsRowShown="0" headerRowDxfId="21" dataDxfId="20">
  <autoFilter ref="A1:T15" xr:uid="{645571C8-DDBB-4396-94A3-C57B82B9E9CE}"/>
  <tableColumns count="20">
    <tableColumn id="1" xr3:uid="{9338D299-C812-7542-A8FE-8F4A799A2A19}" name="# of deaths" dataDxfId="19"/>
    <tableColumn id="2" xr3:uid="{7DD8A02B-8D93-9E4D-B26E-FE9ADE95D807}" name="Cause of death" dataDxfId="18"/>
    <tableColumn id="3" xr3:uid="{E8D4C37A-CC38-5F49-9433-BFCA8C023DFD}" name="BN1" dataDxfId="17" dataCellStyle="Normale 2"/>
    <tableColumn id="4" xr3:uid="{20F26453-0BBA-1C4B-BFA9-4F5D4F7ED81A}" name="BN2" dataDxfId="16" dataCellStyle="Normale 2"/>
    <tableColumn id="5" xr3:uid="{3CB5E05A-59CA-E849-9DA9-333BE37F96E0}" name="BN3" dataDxfId="15" dataCellStyle="Normale 2"/>
    <tableColumn id="6" xr3:uid="{EA565FF6-324B-EA4B-B150-B124E03434A0}" name="BN4 + BN13" dataDxfId="14" dataCellStyle="Normale 2"/>
    <tableColumn id="7" xr3:uid="{6771A1CF-3AAF-A542-931A-804D365A7A89}" name="BN5" dataDxfId="13" dataCellStyle="Normale 2"/>
    <tableColumn id="8" xr3:uid="{08ABD4D9-DDCB-C14F-9453-F29142680453}" name="BN6" dataDxfId="12" dataCellStyle="Normale 2"/>
    <tableColumn id="9" xr3:uid="{C442E775-852C-904A-B9F5-2C00871CF3CF}" name="BN7" dataDxfId="11" dataCellStyle="Normale 2"/>
    <tableColumn id="10" xr3:uid="{7FE10156-EA23-A346-84B6-A47025642898}" name="BN8" dataDxfId="10" dataCellStyle="Normale 2"/>
    <tableColumn id="11" xr3:uid="{700D3FEF-ACDE-7E49-8B79-4A0A5FF71FFC}" name="BN9" dataDxfId="9" dataCellStyle="Normale 2"/>
    <tableColumn id="12" xr3:uid="{DFB384C6-7AC9-9743-9047-3A0EFA51072C}" name="BN10" dataDxfId="8" dataCellStyle="Normale 2"/>
    <tableColumn id="13" xr3:uid="{BE59EC4D-AE9C-9E46-A19D-3009A9387FE3}" name="BN11" dataDxfId="7" dataCellStyle="Normale 2"/>
    <tableColumn id="14" xr3:uid="{C103000A-263A-4848-9FD4-7890BF02D177}" name="BN12" dataDxfId="6" dataCellStyle="Normale 2"/>
    <tableColumn id="16" xr3:uid="{03F49DC7-1C90-9F4C-BF21-B4090F821BA5}" name="BN14" dataDxfId="5" dataCellStyle="Normale 2"/>
    <tableColumn id="17" xr3:uid="{02184BC5-6C87-5546-B2A5-3916B46C0ED4}" name="BN15 + BN16" dataDxfId="4" dataCellStyle="Normale 2"/>
    <tableColumn id="19" xr3:uid="{714C2475-7273-284C-9F36-F1C676A1C058}" name="BN17" dataDxfId="3" dataCellStyle="Normale 2"/>
    <tableColumn id="20" xr3:uid="{0039D7CA-89D5-EE40-B09A-DDB22780D5CD}" name="BN18" dataDxfId="2" dataCellStyle="Normale 2"/>
    <tableColumn id="21" xr3:uid="{8DB77786-3F33-824B-970A-5DD04382E683}" name="BN19" dataDxfId="1" dataCellStyle="Normale 2"/>
    <tableColumn id="22" xr3:uid="{A9A6BE83-1B3E-1241-AF97-DD78BD96028C}" name="BN20" dataDxfId="0" dataCellStyle="Normale 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ED59-AF29-714C-AE07-21160E2B1795}">
  <dimension ref="A1:B21"/>
  <sheetViews>
    <sheetView zoomScale="120" zoomScaleNormal="120" workbookViewId="0">
      <selection activeCell="C26" sqref="C26"/>
    </sheetView>
  </sheetViews>
  <sheetFormatPr defaultColWidth="10.875" defaultRowHeight="15.95"/>
  <cols>
    <col min="1" max="1" width="14" style="1" bestFit="1" customWidth="1"/>
    <col min="2" max="2" width="14.875" style="1" bestFit="1" customWidth="1"/>
    <col min="3" max="16384" width="10.875" style="1"/>
  </cols>
  <sheetData>
    <row r="1" spans="1:2">
      <c r="A1" s="7" t="s">
        <v>0</v>
      </c>
      <c r="B1" s="7" t="s">
        <v>1</v>
      </c>
    </row>
    <row r="2" spans="1:2">
      <c r="A2" s="8" t="s">
        <v>2</v>
      </c>
      <c r="B2" s="8" t="s">
        <v>3</v>
      </c>
    </row>
    <row r="3" spans="1:2">
      <c r="A3" s="8" t="s">
        <v>4</v>
      </c>
      <c r="B3" s="8" t="s">
        <v>5</v>
      </c>
    </row>
    <row r="4" spans="1:2">
      <c r="A4" s="8" t="s">
        <v>6</v>
      </c>
      <c r="B4" s="8" t="s">
        <v>7</v>
      </c>
    </row>
    <row r="5" spans="1:2">
      <c r="A5" s="8" t="s">
        <v>8</v>
      </c>
      <c r="B5" s="9" t="s">
        <v>9</v>
      </c>
    </row>
    <row r="6" spans="1:2">
      <c r="A6" s="8" t="s">
        <v>10</v>
      </c>
      <c r="B6" s="9" t="s">
        <v>9</v>
      </c>
    </row>
    <row r="7" spans="1:2">
      <c r="A7" s="8" t="s">
        <v>11</v>
      </c>
      <c r="B7" s="8" t="s">
        <v>12</v>
      </c>
    </row>
    <row r="8" spans="1:2">
      <c r="A8" s="8" t="s">
        <v>13</v>
      </c>
      <c r="B8" s="8" t="s">
        <v>14</v>
      </c>
    </row>
    <row r="9" spans="1:2">
      <c r="A9" s="8" t="s">
        <v>15</v>
      </c>
      <c r="B9" s="8" t="s">
        <v>16</v>
      </c>
    </row>
    <row r="10" spans="1:2">
      <c r="A10" s="8" t="s">
        <v>17</v>
      </c>
      <c r="B10" s="8" t="s">
        <v>18</v>
      </c>
    </row>
    <row r="11" spans="1:2">
      <c r="A11" s="8" t="s">
        <v>19</v>
      </c>
      <c r="B11" s="8" t="s">
        <v>20</v>
      </c>
    </row>
    <row r="12" spans="1:2">
      <c r="A12" s="8" t="s">
        <v>21</v>
      </c>
      <c r="B12" s="8" t="s">
        <v>22</v>
      </c>
    </row>
    <row r="13" spans="1:2">
      <c r="A13" s="8" t="s">
        <v>23</v>
      </c>
      <c r="B13" s="8" t="s">
        <v>24</v>
      </c>
    </row>
    <row r="14" spans="1:2">
      <c r="A14" s="8" t="s">
        <v>25</v>
      </c>
      <c r="B14" s="8" t="s">
        <v>26</v>
      </c>
    </row>
    <row r="15" spans="1:2">
      <c r="A15" s="8" t="s">
        <v>27</v>
      </c>
      <c r="B15" s="8" t="s">
        <v>28</v>
      </c>
    </row>
    <row r="16" spans="1:2">
      <c r="A16" s="8" t="s">
        <v>29</v>
      </c>
      <c r="B16" s="10" t="s">
        <v>30</v>
      </c>
    </row>
    <row r="17" spans="1:2">
      <c r="A17" s="8" t="s">
        <v>31</v>
      </c>
      <c r="B17" s="10" t="s">
        <v>30</v>
      </c>
    </row>
    <row r="18" spans="1:2">
      <c r="A18" s="8" t="s">
        <v>32</v>
      </c>
      <c r="B18" s="8" t="s">
        <v>26</v>
      </c>
    </row>
    <row r="19" spans="1:2">
      <c r="A19" s="8" t="s">
        <v>33</v>
      </c>
      <c r="B19" s="8" t="s">
        <v>34</v>
      </c>
    </row>
    <row r="20" spans="1:2">
      <c r="A20" s="8" t="s">
        <v>35</v>
      </c>
      <c r="B20" s="8" t="s">
        <v>24</v>
      </c>
    </row>
    <row r="21" spans="1:2">
      <c r="A21" s="8" t="s">
        <v>36</v>
      </c>
      <c r="B21" s="8" t="s">
        <v>37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A365-2640-A94D-8A29-81785F1969E5}">
  <sheetPr>
    <tabColor rgb="FF92D050"/>
  </sheetPr>
  <dimension ref="A1:V24"/>
  <sheetViews>
    <sheetView zoomScale="120" zoomScaleNormal="120" workbookViewId="0">
      <selection activeCell="A25" sqref="A25"/>
    </sheetView>
  </sheetViews>
  <sheetFormatPr defaultColWidth="8.875" defaultRowHeight="15.95"/>
  <cols>
    <col min="1" max="1" width="14.125" style="1" bestFit="1" customWidth="1"/>
    <col min="2" max="2" width="40.875" style="1" bestFit="1" customWidth="1"/>
    <col min="3" max="10" width="6.875" style="1" customWidth="1"/>
    <col min="11" max="11" width="9.5" style="1" bestFit="1" customWidth="1"/>
    <col min="12" max="21" width="6.875" style="1" customWidth="1"/>
    <col min="22" max="16384" width="8.875" style="1"/>
  </cols>
  <sheetData>
    <row r="1" spans="1:22" ht="93" customHeight="1">
      <c r="A1" s="3" t="s">
        <v>38</v>
      </c>
      <c r="B1" s="3" t="s">
        <v>39</v>
      </c>
      <c r="C1" s="11" t="s">
        <v>2</v>
      </c>
      <c r="D1" s="11" t="s">
        <v>4</v>
      </c>
      <c r="E1" s="11" t="s">
        <v>6</v>
      </c>
      <c r="F1" s="12" t="s">
        <v>40</v>
      </c>
      <c r="G1" s="11" t="s">
        <v>11</v>
      </c>
      <c r="H1" s="11" t="s">
        <v>13</v>
      </c>
      <c r="I1" s="11" t="s">
        <v>15</v>
      </c>
      <c r="J1" s="11" t="s">
        <v>17</v>
      </c>
      <c r="K1" s="11" t="s">
        <v>19</v>
      </c>
      <c r="L1" s="11" t="s">
        <v>21</v>
      </c>
      <c r="M1" s="11" t="s">
        <v>23</v>
      </c>
      <c r="N1" s="11" t="s">
        <v>25</v>
      </c>
      <c r="O1" s="11" t="s">
        <v>27</v>
      </c>
      <c r="P1" s="13" t="s">
        <v>41</v>
      </c>
      <c r="Q1" s="11" t="s">
        <v>32</v>
      </c>
      <c r="R1" s="11" t="s">
        <v>33</v>
      </c>
      <c r="S1" s="11" t="s">
        <v>35</v>
      </c>
      <c r="T1" s="11" t="s">
        <v>36</v>
      </c>
    </row>
    <row r="2" spans="1:22">
      <c r="A2" s="5">
        <v>1</v>
      </c>
      <c r="B2" s="14" t="s">
        <v>42</v>
      </c>
      <c r="C2" s="4"/>
      <c r="D2" s="4"/>
      <c r="E2" s="4"/>
      <c r="F2" s="4"/>
      <c r="G2" s="4"/>
      <c r="H2" s="4">
        <v>19.8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V2" s="2"/>
    </row>
    <row r="3" spans="1:22">
      <c r="A3" s="5">
        <v>2</v>
      </c>
      <c r="B3" s="14" t="s">
        <v>43</v>
      </c>
      <c r="C3" s="4">
        <v>19.8</v>
      </c>
      <c r="D3" s="4"/>
      <c r="E3" s="4">
        <v>19.899999999999999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V3" s="2"/>
    </row>
    <row r="4" spans="1:22">
      <c r="A4" s="5">
        <v>7</v>
      </c>
      <c r="B4" s="14" t="s">
        <v>44</v>
      </c>
      <c r="C4" s="4"/>
      <c r="D4" s="4"/>
      <c r="E4" s="4"/>
      <c r="F4" s="4"/>
      <c r="G4" s="4"/>
      <c r="H4" s="4"/>
      <c r="I4" s="4"/>
      <c r="J4" s="4"/>
      <c r="K4" s="4">
        <v>1056.3</v>
      </c>
      <c r="L4" s="4"/>
      <c r="M4" s="4">
        <v>1282.0999999999999</v>
      </c>
      <c r="N4" s="4"/>
      <c r="O4" s="4"/>
      <c r="P4" s="4"/>
      <c r="Q4" s="4"/>
      <c r="R4" s="4"/>
      <c r="S4" s="4"/>
      <c r="T4" s="4"/>
      <c r="V4" s="2"/>
    </row>
    <row r="5" spans="1:22">
      <c r="A5" s="5">
        <v>2</v>
      </c>
      <c r="B5" s="14" t="s">
        <v>45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>
        <v>706.7</v>
      </c>
      <c r="Q5" s="4"/>
      <c r="R5" s="4"/>
      <c r="S5" s="4"/>
      <c r="T5" s="4"/>
      <c r="V5" s="2"/>
    </row>
    <row r="6" spans="1:22">
      <c r="A6" s="5">
        <v>32</v>
      </c>
      <c r="B6" s="14" t="s">
        <v>46</v>
      </c>
      <c r="C6" s="4">
        <v>99.1</v>
      </c>
      <c r="D6" s="4">
        <v>119.8</v>
      </c>
      <c r="E6" s="4">
        <v>99.5</v>
      </c>
      <c r="F6" s="4"/>
      <c r="G6" s="4"/>
      <c r="H6" s="4">
        <v>177.9</v>
      </c>
      <c r="I6" s="4"/>
      <c r="J6" s="4"/>
      <c r="K6" s="4"/>
      <c r="L6" s="4">
        <v>140.19999999999999</v>
      </c>
      <c r="M6" s="4"/>
      <c r="N6" s="4"/>
      <c r="O6" s="4"/>
      <c r="P6" s="4"/>
      <c r="Q6" s="4"/>
      <c r="R6" s="4"/>
      <c r="S6" s="4"/>
      <c r="T6" s="4"/>
      <c r="V6" s="2"/>
    </row>
    <row r="7" spans="1:22">
      <c r="A7" s="5">
        <v>6</v>
      </c>
      <c r="B7" s="14" t="s">
        <v>47</v>
      </c>
      <c r="C7" s="4">
        <v>59.5</v>
      </c>
      <c r="D7" s="4">
        <v>20</v>
      </c>
      <c r="E7" s="4">
        <v>19.899999999999999</v>
      </c>
      <c r="F7" s="4"/>
      <c r="G7" s="4"/>
      <c r="H7" s="4">
        <v>19.8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V7" s="2"/>
    </row>
    <row r="8" spans="1:22">
      <c r="A8" s="5">
        <v>80</v>
      </c>
      <c r="B8" s="15" t="s">
        <v>48</v>
      </c>
      <c r="C8" s="4">
        <v>257.60000000000002</v>
      </c>
      <c r="D8" s="4">
        <v>638.70000000000005</v>
      </c>
      <c r="E8" s="4">
        <v>298.5</v>
      </c>
      <c r="F8" s="4"/>
      <c r="G8" s="4"/>
      <c r="H8" s="4">
        <v>158.1</v>
      </c>
      <c r="I8" s="4"/>
      <c r="J8" s="4"/>
      <c r="K8" s="4"/>
      <c r="L8" s="4">
        <v>240.3</v>
      </c>
      <c r="M8" s="4"/>
      <c r="N8" s="4"/>
      <c r="O8" s="4"/>
      <c r="P8" s="4"/>
      <c r="Q8" s="4"/>
      <c r="R8" s="4"/>
      <c r="S8" s="4"/>
      <c r="T8" s="4"/>
      <c r="V8" s="2"/>
    </row>
    <row r="9" spans="1:22">
      <c r="A9" s="5">
        <v>68</v>
      </c>
      <c r="B9" s="15" t="s">
        <v>49</v>
      </c>
      <c r="C9" s="4">
        <v>218</v>
      </c>
      <c r="D9" s="4">
        <v>299.39999999999998</v>
      </c>
      <c r="E9" s="4">
        <v>159.19999999999999</v>
      </c>
      <c r="F9" s="4"/>
      <c r="G9" s="4"/>
      <c r="H9" s="4">
        <v>375.6</v>
      </c>
      <c r="I9" s="4"/>
      <c r="J9" s="4"/>
      <c r="K9" s="4"/>
      <c r="L9" s="4">
        <v>300.39999999999998</v>
      </c>
      <c r="M9" s="4"/>
      <c r="N9" s="4"/>
      <c r="O9" s="4"/>
      <c r="P9" s="4"/>
      <c r="Q9" s="4"/>
      <c r="R9" s="4"/>
      <c r="S9" s="4"/>
      <c r="T9" s="4"/>
      <c r="V9" s="2"/>
    </row>
    <row r="10" spans="1:22">
      <c r="A10" s="5">
        <v>59</v>
      </c>
      <c r="B10" s="15" t="s">
        <v>50</v>
      </c>
      <c r="C10" s="4"/>
      <c r="D10" s="4">
        <v>239.5</v>
      </c>
      <c r="E10" s="4">
        <v>398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>
        <v>9540.6</v>
      </c>
      <c r="Q10" s="4"/>
      <c r="R10" s="4"/>
      <c r="S10" s="4"/>
      <c r="T10" s="4"/>
      <c r="V10" s="2"/>
    </row>
    <row r="11" spans="1:22">
      <c r="A11" s="5">
        <v>4</v>
      </c>
      <c r="B11" s="14" t="s">
        <v>51</v>
      </c>
      <c r="C11" s="4"/>
      <c r="D11" s="4"/>
      <c r="E11" s="4"/>
      <c r="F11" s="4"/>
      <c r="G11" s="4">
        <v>49.2</v>
      </c>
      <c r="H11" s="4"/>
      <c r="I11" s="4"/>
      <c r="J11" s="4"/>
      <c r="K11" s="4"/>
      <c r="L11" s="4"/>
      <c r="M11" s="4"/>
      <c r="N11" s="4"/>
      <c r="O11" s="4"/>
      <c r="P11" s="4">
        <v>353.4</v>
      </c>
      <c r="Q11" s="4"/>
      <c r="R11" s="4"/>
      <c r="S11" s="4"/>
      <c r="T11" s="4">
        <v>647.20000000000005</v>
      </c>
      <c r="V11" s="2"/>
    </row>
    <row r="12" spans="1:22">
      <c r="A12" s="5">
        <v>31</v>
      </c>
      <c r="B12" s="15" t="s">
        <v>52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>
        <v>10954.1</v>
      </c>
      <c r="Q12" s="4"/>
      <c r="R12" s="4"/>
      <c r="S12" s="4"/>
      <c r="T12" s="4"/>
      <c r="V12" s="2"/>
    </row>
    <row r="13" spans="1:22">
      <c r="A13" s="5">
        <v>14</v>
      </c>
      <c r="B13" s="15" t="s">
        <v>53</v>
      </c>
      <c r="C13" s="4"/>
      <c r="D13" s="4"/>
      <c r="E13" s="4"/>
      <c r="F13" s="4"/>
      <c r="G13" s="4">
        <v>295.3</v>
      </c>
      <c r="H13" s="4"/>
      <c r="I13" s="4"/>
      <c r="J13" s="4"/>
      <c r="K13" s="4"/>
      <c r="L13" s="4"/>
      <c r="M13" s="4"/>
      <c r="N13" s="4"/>
      <c r="O13" s="4"/>
      <c r="P13" s="4">
        <v>1060.0999999999999</v>
      </c>
      <c r="Q13" s="4"/>
      <c r="R13" s="4"/>
      <c r="S13" s="4"/>
      <c r="T13" s="4">
        <v>1618.1</v>
      </c>
      <c r="V13" s="2"/>
    </row>
    <row r="14" spans="1:22">
      <c r="A14" s="5">
        <v>1</v>
      </c>
      <c r="B14" s="15" t="s">
        <v>54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>
        <v>320.5</v>
      </c>
      <c r="N14" s="4"/>
      <c r="O14" s="4"/>
      <c r="P14" s="4"/>
      <c r="Q14" s="4"/>
      <c r="R14" s="4"/>
      <c r="S14" s="4"/>
      <c r="T14" s="4"/>
      <c r="V14" s="2"/>
    </row>
    <row r="15" spans="1:22">
      <c r="A15" s="5">
        <v>1</v>
      </c>
      <c r="B15" s="14" t="s">
        <v>55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>
        <v>353.4</v>
      </c>
      <c r="Q15" s="4"/>
      <c r="R15" s="4"/>
      <c r="S15" s="4"/>
      <c r="T15" s="4"/>
      <c r="V15" s="2"/>
    </row>
    <row r="16" spans="1:22">
      <c r="A16" s="5"/>
      <c r="B16" s="1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P16" s="4"/>
      <c r="Q16" s="4"/>
      <c r="R16" s="4"/>
      <c r="S16" s="4"/>
      <c r="T16" s="4"/>
      <c r="U16" s="4"/>
    </row>
    <row r="17" spans="1:22">
      <c r="A17" s="16">
        <f>SUM(filtered_dataset346['# of deaths])</f>
        <v>308</v>
      </c>
      <c r="B17" s="14" t="s">
        <v>56</v>
      </c>
      <c r="C17" s="5">
        <v>33</v>
      </c>
      <c r="D17" s="5">
        <v>66</v>
      </c>
      <c r="E17" s="5">
        <v>50</v>
      </c>
      <c r="F17" s="5">
        <v>0</v>
      </c>
      <c r="G17" s="5">
        <v>7</v>
      </c>
      <c r="H17" s="5">
        <v>38</v>
      </c>
      <c r="I17" s="5">
        <v>0</v>
      </c>
      <c r="J17" s="5">
        <v>0</v>
      </c>
      <c r="K17" s="5">
        <v>3</v>
      </c>
      <c r="L17" s="5">
        <v>34</v>
      </c>
      <c r="M17" s="5">
        <v>5</v>
      </c>
      <c r="N17" s="5">
        <v>0</v>
      </c>
      <c r="O17" s="5">
        <v>0</v>
      </c>
      <c r="P17" s="5">
        <v>65</v>
      </c>
      <c r="Q17" s="5">
        <v>0</v>
      </c>
      <c r="R17" s="5">
        <v>0</v>
      </c>
      <c r="S17" s="5">
        <v>0</v>
      </c>
      <c r="T17" s="5">
        <v>7</v>
      </c>
      <c r="U17" s="5"/>
      <c r="V17" s="17"/>
    </row>
    <row r="18" spans="1:22">
      <c r="A18" s="2">
        <v>412</v>
      </c>
      <c r="B18" s="1" t="s">
        <v>57</v>
      </c>
      <c r="C18" s="2">
        <v>52</v>
      </c>
      <c r="D18" s="2">
        <v>82</v>
      </c>
      <c r="E18" s="2">
        <v>61</v>
      </c>
      <c r="F18" s="2">
        <v>5</v>
      </c>
      <c r="G18" s="2">
        <v>12</v>
      </c>
      <c r="H18" s="2">
        <v>44</v>
      </c>
      <c r="I18" s="2">
        <v>3</v>
      </c>
      <c r="J18" s="2">
        <v>0</v>
      </c>
      <c r="K18" s="2">
        <v>3</v>
      </c>
      <c r="L18" s="2">
        <v>39</v>
      </c>
      <c r="M18" s="2">
        <v>9</v>
      </c>
      <c r="N18" s="2">
        <v>0</v>
      </c>
      <c r="O18" s="2">
        <v>3</v>
      </c>
      <c r="P18" s="2">
        <v>83</v>
      </c>
      <c r="Q18" s="2">
        <v>2</v>
      </c>
      <c r="R18" s="2">
        <v>0</v>
      </c>
      <c r="S18" s="2">
        <v>4</v>
      </c>
      <c r="T18" s="2">
        <v>10</v>
      </c>
      <c r="U18" s="2"/>
      <c r="V18" s="19"/>
    </row>
    <row r="19" spans="1:22">
      <c r="A19" s="6">
        <v>720</v>
      </c>
      <c r="B19" s="1" t="s">
        <v>58</v>
      </c>
      <c r="C19" s="18">
        <f>C17+C18</f>
        <v>85</v>
      </c>
      <c r="D19" s="18">
        <f t="shared" ref="D19:T19" si="0">D17+D18</f>
        <v>148</v>
      </c>
      <c r="E19" s="18">
        <f t="shared" si="0"/>
        <v>111</v>
      </c>
      <c r="F19" s="18">
        <f t="shared" si="0"/>
        <v>5</v>
      </c>
      <c r="G19" s="18">
        <f t="shared" si="0"/>
        <v>19</v>
      </c>
      <c r="H19" s="18">
        <f t="shared" si="0"/>
        <v>82</v>
      </c>
      <c r="I19" s="18">
        <f t="shared" si="0"/>
        <v>3</v>
      </c>
      <c r="J19" s="18">
        <f t="shared" si="0"/>
        <v>0</v>
      </c>
      <c r="K19" s="18">
        <f t="shared" si="0"/>
        <v>6</v>
      </c>
      <c r="L19" s="18">
        <f t="shared" si="0"/>
        <v>73</v>
      </c>
      <c r="M19" s="18">
        <f t="shared" si="0"/>
        <v>14</v>
      </c>
      <c r="N19" s="18">
        <f t="shared" si="0"/>
        <v>0</v>
      </c>
      <c r="O19" s="18">
        <f t="shared" si="0"/>
        <v>3</v>
      </c>
      <c r="P19" s="18">
        <f t="shared" si="0"/>
        <v>148</v>
      </c>
      <c r="Q19" s="18">
        <f t="shared" si="0"/>
        <v>2</v>
      </c>
      <c r="R19" s="18">
        <f t="shared" si="0"/>
        <v>0</v>
      </c>
      <c r="S19" s="18">
        <f t="shared" si="0"/>
        <v>4</v>
      </c>
      <c r="T19" s="18">
        <f t="shared" si="0"/>
        <v>17</v>
      </c>
    </row>
    <row r="21" spans="1:22"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spans="1:22"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4" spans="1:22" ht="15.75">
      <c r="A24" s="21" t="s">
        <v>59</v>
      </c>
    </row>
  </sheetData>
  <conditionalFormatting sqref="V2:V15">
    <cfRule type="cellIs" dxfId="36" priority="15" operator="equal">
      <formula>$A$2</formula>
    </cfRule>
  </conditionalFormatting>
  <conditionalFormatting sqref="V3">
    <cfRule type="cellIs" dxfId="35" priority="14" operator="equal">
      <formula>$A$3</formula>
    </cfRule>
  </conditionalFormatting>
  <conditionalFormatting sqref="V4">
    <cfRule type="cellIs" dxfId="34" priority="13" operator="equal">
      <formula>$A$4</formula>
    </cfRule>
  </conditionalFormatting>
  <conditionalFormatting sqref="V5">
    <cfRule type="cellIs" dxfId="33" priority="12" operator="equal">
      <formula>$A$5</formula>
    </cfRule>
  </conditionalFormatting>
  <conditionalFormatting sqref="V6">
    <cfRule type="cellIs" dxfId="32" priority="11" operator="equal">
      <formula>$A$6</formula>
    </cfRule>
  </conditionalFormatting>
  <conditionalFormatting sqref="V7">
    <cfRule type="cellIs" dxfId="31" priority="10" operator="equal">
      <formula>$A$7</formula>
    </cfRule>
  </conditionalFormatting>
  <conditionalFormatting sqref="V8">
    <cfRule type="cellIs" dxfId="30" priority="9" operator="equal">
      <formula>$A$8</formula>
    </cfRule>
  </conditionalFormatting>
  <conditionalFormatting sqref="V9">
    <cfRule type="cellIs" dxfId="29" priority="8" operator="equal">
      <formula>$A$9</formula>
    </cfRule>
  </conditionalFormatting>
  <conditionalFormatting sqref="V10">
    <cfRule type="cellIs" dxfId="28" priority="7" operator="equal">
      <formula>$A$10</formula>
    </cfRule>
  </conditionalFormatting>
  <conditionalFormatting sqref="V11">
    <cfRule type="cellIs" dxfId="27" priority="6" operator="equal">
      <formula>$A$11</formula>
    </cfRule>
  </conditionalFormatting>
  <conditionalFormatting sqref="V12">
    <cfRule type="cellIs" dxfId="26" priority="5" operator="equal">
      <formula>$A$12</formula>
    </cfRule>
  </conditionalFormatting>
  <conditionalFormatting sqref="V13">
    <cfRule type="cellIs" dxfId="25" priority="4" operator="equal">
      <formula>$A$13</formula>
    </cfRule>
  </conditionalFormatting>
  <conditionalFormatting sqref="V14">
    <cfRule type="cellIs" dxfId="24" priority="3" operator="equal">
      <formula>$A$14</formula>
    </cfRule>
  </conditionalFormatting>
  <conditionalFormatting sqref="V15">
    <cfRule type="cellIs" dxfId="23" priority="2" operator="equal">
      <formula>$A$15</formula>
    </cfRule>
  </conditionalFormatting>
  <conditionalFormatting sqref="V17">
    <cfRule type="cellIs" dxfId="22" priority="1" operator="equal">
      <formula>$A$17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E95F-F363-4382-93AF-81DC6CA1573D}">
  <sheetPr>
    <tabColor rgb="FF92D050"/>
  </sheetPr>
  <dimension ref="A2:AM19"/>
  <sheetViews>
    <sheetView tabSelected="1" workbookViewId="0">
      <selection activeCell="L19" sqref="L19"/>
    </sheetView>
  </sheetViews>
  <sheetFormatPr defaultRowHeight="15.75"/>
  <cols>
    <col min="1" max="1" width="36.125" customWidth="1"/>
    <col min="3" max="3" width="11.25" bestFit="1" customWidth="1"/>
  </cols>
  <sheetData>
    <row r="2" spans="1:39" ht="108">
      <c r="A2" s="26" t="s">
        <v>60</v>
      </c>
      <c r="B2" s="27" t="s">
        <v>61</v>
      </c>
      <c r="C2" s="28" t="s">
        <v>62</v>
      </c>
      <c r="D2" s="22" t="s">
        <v>63</v>
      </c>
      <c r="E2" s="22" t="s">
        <v>64</v>
      </c>
      <c r="F2" s="22" t="s">
        <v>65</v>
      </c>
      <c r="G2" s="22" t="s">
        <v>66</v>
      </c>
      <c r="H2" s="22" t="s">
        <v>67</v>
      </c>
      <c r="I2" s="22" t="s">
        <v>68</v>
      </c>
      <c r="J2" s="23" t="s">
        <v>69</v>
      </c>
      <c r="K2" s="23" t="s">
        <v>70</v>
      </c>
      <c r="L2" s="22" t="s">
        <v>71</v>
      </c>
      <c r="M2" s="22" t="s">
        <v>72</v>
      </c>
      <c r="N2" s="22" t="s">
        <v>73</v>
      </c>
      <c r="O2" s="22" t="s">
        <v>74</v>
      </c>
      <c r="P2" s="22" t="s">
        <v>75</v>
      </c>
      <c r="Q2" s="22" t="s">
        <v>76</v>
      </c>
      <c r="R2" s="22" t="s">
        <v>77</v>
      </c>
      <c r="S2" s="22" t="s">
        <v>78</v>
      </c>
      <c r="T2" s="22" t="s">
        <v>79</v>
      </c>
      <c r="U2" s="22" t="s">
        <v>80</v>
      </c>
      <c r="V2" s="22" t="s">
        <v>81</v>
      </c>
      <c r="W2" s="22" t="s">
        <v>82</v>
      </c>
      <c r="X2" s="22" t="s">
        <v>83</v>
      </c>
      <c r="Y2" s="22" t="s">
        <v>84</v>
      </c>
      <c r="Z2" s="22" t="s">
        <v>85</v>
      </c>
      <c r="AA2" s="22" t="s">
        <v>86</v>
      </c>
      <c r="AB2" s="22" t="s">
        <v>87</v>
      </c>
      <c r="AC2" s="22" t="s">
        <v>88</v>
      </c>
      <c r="AD2" s="24" t="s">
        <v>89</v>
      </c>
      <c r="AE2" s="24" t="s">
        <v>90</v>
      </c>
      <c r="AF2" s="22" t="s">
        <v>91</v>
      </c>
      <c r="AG2" s="22" t="s">
        <v>92</v>
      </c>
      <c r="AH2" s="22" t="s">
        <v>93</v>
      </c>
      <c r="AI2" s="22" t="s">
        <v>94</v>
      </c>
      <c r="AJ2" s="22" t="s">
        <v>95</v>
      </c>
      <c r="AK2" s="22" t="s">
        <v>96</v>
      </c>
      <c r="AL2" s="22" t="s">
        <v>97</v>
      </c>
      <c r="AM2" s="22" t="s">
        <v>98</v>
      </c>
    </row>
    <row r="3" spans="1:39" ht="32.25">
      <c r="A3" s="29" t="s">
        <v>99</v>
      </c>
      <c r="B3" s="31">
        <v>38</v>
      </c>
      <c r="C3" s="32">
        <v>26</v>
      </c>
      <c r="D3" s="25">
        <v>39</v>
      </c>
      <c r="E3" s="25">
        <v>20</v>
      </c>
      <c r="F3" s="25">
        <v>38</v>
      </c>
      <c r="G3" s="25">
        <v>22</v>
      </c>
      <c r="H3" s="25">
        <v>31</v>
      </c>
      <c r="I3" s="25">
        <v>33</v>
      </c>
      <c r="J3" s="25" t="s">
        <v>100</v>
      </c>
      <c r="K3" s="25" t="s">
        <v>100</v>
      </c>
      <c r="L3" s="25" t="s">
        <v>100</v>
      </c>
      <c r="M3" s="25" t="s">
        <v>100</v>
      </c>
      <c r="N3" s="25">
        <v>44</v>
      </c>
      <c r="O3" s="25">
        <v>29</v>
      </c>
      <c r="P3" s="25" t="s">
        <v>100</v>
      </c>
      <c r="Q3" s="25" t="s">
        <v>100</v>
      </c>
      <c r="R3" s="25" t="s">
        <v>100</v>
      </c>
      <c r="S3" s="25" t="s">
        <v>100</v>
      </c>
      <c r="T3" s="25" t="s">
        <v>100</v>
      </c>
      <c r="U3" s="25" t="s">
        <v>100</v>
      </c>
      <c r="V3" s="25" t="s">
        <v>100</v>
      </c>
      <c r="W3" s="25" t="s">
        <v>100</v>
      </c>
      <c r="X3" s="25" t="s">
        <v>100</v>
      </c>
      <c r="Y3" s="25" t="s">
        <v>100</v>
      </c>
      <c r="Z3" s="25" t="s">
        <v>100</v>
      </c>
      <c r="AA3" s="25" t="s">
        <v>100</v>
      </c>
      <c r="AB3" s="25" t="s">
        <v>100</v>
      </c>
      <c r="AC3" s="25" t="s">
        <v>100</v>
      </c>
      <c r="AD3" s="25" t="s">
        <v>100</v>
      </c>
      <c r="AE3" s="25" t="s">
        <v>100</v>
      </c>
      <c r="AF3" s="25" t="s">
        <v>100</v>
      </c>
      <c r="AG3" s="25" t="s">
        <v>100</v>
      </c>
      <c r="AH3" s="25" t="s">
        <v>100</v>
      </c>
      <c r="AI3" s="25" t="s">
        <v>100</v>
      </c>
      <c r="AJ3" s="25" t="s">
        <v>100</v>
      </c>
      <c r="AK3" s="25" t="s">
        <v>100</v>
      </c>
      <c r="AL3" s="25" t="s">
        <v>100</v>
      </c>
      <c r="AM3" s="25" t="s">
        <v>100</v>
      </c>
    </row>
    <row r="4" spans="1:39" ht="32.25">
      <c r="A4" s="29" t="s">
        <v>101</v>
      </c>
      <c r="B4" s="31">
        <v>39</v>
      </c>
      <c r="C4" s="32">
        <v>31</v>
      </c>
      <c r="D4" s="25">
        <v>44</v>
      </c>
      <c r="E4" s="25">
        <v>23</v>
      </c>
      <c r="F4" s="25">
        <v>43</v>
      </c>
      <c r="G4" s="25">
        <v>31</v>
      </c>
      <c r="H4" s="25">
        <v>29</v>
      </c>
      <c r="I4" s="25">
        <v>38</v>
      </c>
      <c r="J4" s="25" t="s">
        <v>100</v>
      </c>
      <c r="K4" s="25" t="s">
        <v>100</v>
      </c>
      <c r="L4" s="25" t="s">
        <v>100</v>
      </c>
      <c r="M4" s="25" t="s">
        <v>100</v>
      </c>
      <c r="N4" s="25">
        <v>40</v>
      </c>
      <c r="O4" s="25">
        <v>32</v>
      </c>
      <c r="P4" s="25" t="s">
        <v>100</v>
      </c>
      <c r="Q4" s="25" t="s">
        <v>100</v>
      </c>
      <c r="R4" s="25" t="s">
        <v>100</v>
      </c>
      <c r="S4" s="25" t="s">
        <v>100</v>
      </c>
      <c r="T4" s="25" t="s">
        <v>100</v>
      </c>
      <c r="U4" s="25" t="s">
        <v>100</v>
      </c>
      <c r="V4" s="25" t="s">
        <v>100</v>
      </c>
      <c r="W4" s="25" t="s">
        <v>100</v>
      </c>
      <c r="X4" s="25" t="s">
        <v>100</v>
      </c>
      <c r="Y4" s="25" t="s">
        <v>100</v>
      </c>
      <c r="Z4" s="25" t="s">
        <v>100</v>
      </c>
      <c r="AA4" s="25" t="s">
        <v>100</v>
      </c>
      <c r="AB4" s="25" t="s">
        <v>100</v>
      </c>
      <c r="AC4" s="25" t="s">
        <v>100</v>
      </c>
      <c r="AD4" s="25" t="s">
        <v>100</v>
      </c>
      <c r="AE4" s="25" t="s">
        <v>100</v>
      </c>
      <c r="AF4" s="25" t="s">
        <v>100</v>
      </c>
      <c r="AG4" s="25" t="s">
        <v>100</v>
      </c>
      <c r="AH4" s="25" t="s">
        <v>100</v>
      </c>
      <c r="AI4" s="25" t="s">
        <v>100</v>
      </c>
      <c r="AJ4" s="25" t="s">
        <v>100</v>
      </c>
      <c r="AK4" s="25" t="s">
        <v>100</v>
      </c>
      <c r="AL4" s="25" t="s">
        <v>100</v>
      </c>
      <c r="AM4" s="25" t="s">
        <v>100</v>
      </c>
    </row>
    <row r="5" spans="1:39" ht="48.75">
      <c r="A5" s="29" t="s">
        <v>102</v>
      </c>
      <c r="B5" s="31">
        <v>55</v>
      </c>
      <c r="C5" s="32">
        <v>43</v>
      </c>
      <c r="D5" s="25">
        <v>58</v>
      </c>
      <c r="E5" s="25">
        <v>33</v>
      </c>
      <c r="F5" s="25">
        <v>53</v>
      </c>
      <c r="G5" s="25">
        <v>38</v>
      </c>
      <c r="H5" s="25">
        <v>49</v>
      </c>
      <c r="I5" s="25">
        <v>50</v>
      </c>
      <c r="J5" s="25" t="s">
        <v>100</v>
      </c>
      <c r="K5" s="25" t="s">
        <v>100</v>
      </c>
      <c r="L5" s="25" t="s">
        <v>100</v>
      </c>
      <c r="M5" s="25" t="s">
        <v>100</v>
      </c>
      <c r="N5" s="25">
        <v>60</v>
      </c>
      <c r="O5" s="25">
        <v>51</v>
      </c>
      <c r="P5" s="25" t="s">
        <v>100</v>
      </c>
      <c r="Q5" s="25" t="s">
        <v>100</v>
      </c>
      <c r="R5" s="25" t="s">
        <v>100</v>
      </c>
      <c r="S5" s="25" t="s">
        <v>100</v>
      </c>
      <c r="T5" s="25" t="s">
        <v>100</v>
      </c>
      <c r="U5" s="25" t="s">
        <v>100</v>
      </c>
      <c r="V5" s="25" t="s">
        <v>100</v>
      </c>
      <c r="W5" s="25" t="s">
        <v>100</v>
      </c>
      <c r="X5" s="25" t="s">
        <v>100</v>
      </c>
      <c r="Y5" s="25" t="s">
        <v>100</v>
      </c>
      <c r="Z5" s="25" t="s">
        <v>100</v>
      </c>
      <c r="AA5" s="25" t="s">
        <v>100</v>
      </c>
      <c r="AB5" s="25" t="s">
        <v>100</v>
      </c>
      <c r="AC5" s="25" t="s">
        <v>100</v>
      </c>
      <c r="AD5" s="25" t="s">
        <v>100</v>
      </c>
      <c r="AE5" s="25" t="s">
        <v>100</v>
      </c>
      <c r="AF5" s="25" t="s">
        <v>100</v>
      </c>
      <c r="AG5" s="25" t="s">
        <v>100</v>
      </c>
      <c r="AH5" s="25" t="s">
        <v>100</v>
      </c>
      <c r="AI5" s="25" t="s">
        <v>100</v>
      </c>
      <c r="AJ5" s="25" t="s">
        <v>100</v>
      </c>
      <c r="AK5" s="25" t="s">
        <v>100</v>
      </c>
      <c r="AL5" s="25" t="s">
        <v>100</v>
      </c>
      <c r="AM5" s="25" t="s">
        <v>100</v>
      </c>
    </row>
    <row r="6" spans="1:39" ht="32.25">
      <c r="A6" s="29" t="s">
        <v>103</v>
      </c>
      <c r="B6" s="31">
        <v>28</v>
      </c>
      <c r="C6" s="32">
        <v>27</v>
      </c>
      <c r="D6" s="25">
        <v>31</v>
      </c>
      <c r="E6" s="25">
        <v>29</v>
      </c>
      <c r="F6" s="25">
        <v>30</v>
      </c>
      <c r="G6" s="25">
        <v>23</v>
      </c>
      <c r="H6" s="25">
        <v>25</v>
      </c>
      <c r="I6" s="25">
        <v>28</v>
      </c>
      <c r="J6" s="25" t="s">
        <v>100</v>
      </c>
      <c r="K6" s="25" t="s">
        <v>100</v>
      </c>
      <c r="L6" s="25" t="s">
        <v>100</v>
      </c>
      <c r="M6" s="25" t="s">
        <v>100</v>
      </c>
      <c r="N6" s="25">
        <v>26</v>
      </c>
      <c r="O6" s="25">
        <v>28</v>
      </c>
      <c r="P6" s="25" t="s">
        <v>100</v>
      </c>
      <c r="Q6" s="25" t="s">
        <v>100</v>
      </c>
      <c r="R6" s="25" t="s">
        <v>100</v>
      </c>
      <c r="S6" s="25" t="s">
        <v>100</v>
      </c>
      <c r="T6" s="25" t="s">
        <v>100</v>
      </c>
      <c r="U6" s="25" t="s">
        <v>100</v>
      </c>
      <c r="V6" s="25" t="s">
        <v>100</v>
      </c>
      <c r="W6" s="25" t="s">
        <v>100</v>
      </c>
      <c r="X6" s="25" t="s">
        <v>100</v>
      </c>
      <c r="Y6" s="25" t="s">
        <v>100</v>
      </c>
      <c r="Z6" s="25" t="s">
        <v>100</v>
      </c>
      <c r="AA6" s="25" t="s">
        <v>100</v>
      </c>
      <c r="AB6" s="25" t="s">
        <v>100</v>
      </c>
      <c r="AC6" s="25" t="s">
        <v>100</v>
      </c>
      <c r="AD6" s="25" t="s">
        <v>100</v>
      </c>
      <c r="AE6" s="25" t="s">
        <v>100</v>
      </c>
      <c r="AF6" s="25" t="s">
        <v>100</v>
      </c>
      <c r="AG6" s="25" t="s">
        <v>100</v>
      </c>
      <c r="AH6" s="25" t="s">
        <v>100</v>
      </c>
      <c r="AI6" s="25" t="s">
        <v>100</v>
      </c>
      <c r="AJ6" s="25" t="s">
        <v>100</v>
      </c>
      <c r="AK6" s="25" t="s">
        <v>100</v>
      </c>
      <c r="AL6" s="25" t="s">
        <v>100</v>
      </c>
      <c r="AM6" s="25" t="s">
        <v>100</v>
      </c>
    </row>
    <row r="7" spans="1:39" ht="48.75">
      <c r="A7" s="29" t="s">
        <v>104</v>
      </c>
      <c r="B7" s="31">
        <v>64</v>
      </c>
      <c r="C7" s="32">
        <v>63</v>
      </c>
      <c r="D7" s="25">
        <v>72</v>
      </c>
      <c r="E7" s="25">
        <v>64</v>
      </c>
      <c r="F7" s="25">
        <v>60</v>
      </c>
      <c r="G7" s="25">
        <v>61</v>
      </c>
      <c r="H7" s="25">
        <v>63</v>
      </c>
      <c r="I7" s="25">
        <v>69</v>
      </c>
      <c r="J7" s="25" t="s">
        <v>100</v>
      </c>
      <c r="K7" s="25" t="s">
        <v>100</v>
      </c>
      <c r="L7" s="25" t="s">
        <v>100</v>
      </c>
      <c r="M7" s="25" t="s">
        <v>100</v>
      </c>
      <c r="N7" s="25">
        <v>61</v>
      </c>
      <c r="O7" s="25">
        <v>58</v>
      </c>
      <c r="P7" s="25" t="s">
        <v>100</v>
      </c>
      <c r="Q7" s="25" t="s">
        <v>100</v>
      </c>
      <c r="R7" s="25" t="s">
        <v>100</v>
      </c>
      <c r="S7" s="25" t="s">
        <v>100</v>
      </c>
      <c r="T7" s="25" t="s">
        <v>100</v>
      </c>
      <c r="U7" s="25" t="s">
        <v>100</v>
      </c>
      <c r="V7" s="25" t="s">
        <v>100</v>
      </c>
      <c r="W7" s="25" t="s">
        <v>100</v>
      </c>
      <c r="X7" s="25" t="s">
        <v>100</v>
      </c>
      <c r="Y7" s="25" t="s">
        <v>100</v>
      </c>
      <c r="Z7" s="25" t="s">
        <v>100</v>
      </c>
      <c r="AA7" s="25" t="s">
        <v>100</v>
      </c>
      <c r="AB7" s="25" t="s">
        <v>100</v>
      </c>
      <c r="AC7" s="25" t="s">
        <v>100</v>
      </c>
      <c r="AD7" s="25" t="s">
        <v>100</v>
      </c>
      <c r="AE7" s="25" t="s">
        <v>100</v>
      </c>
      <c r="AF7" s="25" t="s">
        <v>100</v>
      </c>
      <c r="AG7" s="25" t="s">
        <v>100</v>
      </c>
      <c r="AH7" s="25" t="s">
        <v>100</v>
      </c>
      <c r="AI7" s="25" t="s">
        <v>100</v>
      </c>
      <c r="AJ7" s="25" t="s">
        <v>100</v>
      </c>
      <c r="AK7" s="25" t="s">
        <v>100</v>
      </c>
      <c r="AL7" s="25" t="s">
        <v>100</v>
      </c>
      <c r="AM7" s="25" t="s">
        <v>100</v>
      </c>
    </row>
    <row r="8" spans="1:39" ht="48.75">
      <c r="A8" s="29" t="s">
        <v>105</v>
      </c>
      <c r="B8" s="31">
        <v>11</v>
      </c>
      <c r="C8" s="32">
        <v>20</v>
      </c>
      <c r="D8" s="25">
        <v>10</v>
      </c>
      <c r="E8" s="25">
        <v>18</v>
      </c>
      <c r="F8" s="25">
        <v>13</v>
      </c>
      <c r="G8" s="25">
        <v>26</v>
      </c>
      <c r="H8" s="25">
        <v>8</v>
      </c>
      <c r="I8" s="25">
        <v>20</v>
      </c>
      <c r="J8" s="25" t="s">
        <v>100</v>
      </c>
      <c r="K8" s="25" t="s">
        <v>100</v>
      </c>
      <c r="L8" s="25" t="s">
        <v>100</v>
      </c>
      <c r="M8" s="25" t="s">
        <v>100</v>
      </c>
      <c r="N8" s="25">
        <v>13</v>
      </c>
      <c r="O8" s="25">
        <v>16</v>
      </c>
      <c r="P8" s="25" t="s">
        <v>100</v>
      </c>
      <c r="Q8" s="25" t="s">
        <v>100</v>
      </c>
      <c r="R8" s="25" t="s">
        <v>100</v>
      </c>
      <c r="S8" s="25" t="s">
        <v>100</v>
      </c>
      <c r="T8" s="25" t="s">
        <v>100</v>
      </c>
      <c r="U8" s="25" t="s">
        <v>100</v>
      </c>
      <c r="V8" s="25" t="s">
        <v>100</v>
      </c>
      <c r="W8" s="25" t="s">
        <v>100</v>
      </c>
      <c r="X8" s="25" t="s">
        <v>100</v>
      </c>
      <c r="Y8" s="25" t="s">
        <v>100</v>
      </c>
      <c r="Z8" s="25" t="s">
        <v>100</v>
      </c>
      <c r="AA8" s="25" t="s">
        <v>100</v>
      </c>
      <c r="AB8" s="25" t="s">
        <v>100</v>
      </c>
      <c r="AC8" s="25" t="s">
        <v>100</v>
      </c>
      <c r="AD8" s="25" t="s">
        <v>100</v>
      </c>
      <c r="AE8" s="25" t="s">
        <v>100</v>
      </c>
      <c r="AF8" s="25" t="s">
        <v>100</v>
      </c>
      <c r="AG8" s="25" t="s">
        <v>100</v>
      </c>
      <c r="AH8" s="25" t="s">
        <v>100</v>
      </c>
      <c r="AI8" s="25" t="s">
        <v>100</v>
      </c>
      <c r="AJ8" s="25" t="s">
        <v>100</v>
      </c>
      <c r="AK8" s="25" t="s">
        <v>100</v>
      </c>
      <c r="AL8" s="25" t="s">
        <v>100</v>
      </c>
      <c r="AM8" s="25" t="s">
        <v>100</v>
      </c>
    </row>
    <row r="9" spans="1:39" ht="48.75">
      <c r="A9" s="29" t="s">
        <v>106</v>
      </c>
      <c r="B9" s="31">
        <v>17</v>
      </c>
      <c r="C9" s="32">
        <v>26</v>
      </c>
      <c r="D9" s="25">
        <v>13</v>
      </c>
      <c r="E9" s="25">
        <v>31</v>
      </c>
      <c r="F9" s="25">
        <v>17</v>
      </c>
      <c r="G9" s="25">
        <v>28</v>
      </c>
      <c r="H9" s="25">
        <v>20</v>
      </c>
      <c r="I9" s="25">
        <v>21</v>
      </c>
      <c r="J9" s="25" t="s">
        <v>100</v>
      </c>
      <c r="K9" s="25" t="s">
        <v>100</v>
      </c>
      <c r="L9" s="25" t="s">
        <v>100</v>
      </c>
      <c r="M9" s="25" t="s">
        <v>100</v>
      </c>
      <c r="N9" s="25">
        <v>18</v>
      </c>
      <c r="O9" s="25">
        <v>24</v>
      </c>
      <c r="P9" s="25" t="s">
        <v>100</v>
      </c>
      <c r="Q9" s="25" t="s">
        <v>100</v>
      </c>
      <c r="R9" s="25" t="s">
        <v>100</v>
      </c>
      <c r="S9" s="25" t="s">
        <v>100</v>
      </c>
      <c r="T9" s="25" t="s">
        <v>100</v>
      </c>
      <c r="U9" s="25" t="s">
        <v>100</v>
      </c>
      <c r="V9" s="25" t="s">
        <v>100</v>
      </c>
      <c r="W9" s="25" t="s">
        <v>100</v>
      </c>
      <c r="X9" s="25" t="s">
        <v>100</v>
      </c>
      <c r="Y9" s="25" t="s">
        <v>100</v>
      </c>
      <c r="Z9" s="25" t="s">
        <v>100</v>
      </c>
      <c r="AA9" s="25" t="s">
        <v>100</v>
      </c>
      <c r="AB9" s="25" t="s">
        <v>100</v>
      </c>
      <c r="AC9" s="25" t="s">
        <v>100</v>
      </c>
      <c r="AD9" s="25" t="s">
        <v>100</v>
      </c>
      <c r="AE9" s="25" t="s">
        <v>100</v>
      </c>
      <c r="AF9" s="25" t="s">
        <v>100</v>
      </c>
      <c r="AG9" s="25" t="s">
        <v>100</v>
      </c>
      <c r="AH9" s="25" t="s">
        <v>100</v>
      </c>
      <c r="AI9" s="25" t="s">
        <v>100</v>
      </c>
      <c r="AJ9" s="25" t="s">
        <v>100</v>
      </c>
      <c r="AK9" s="25" t="s">
        <v>100</v>
      </c>
      <c r="AL9" s="25" t="s">
        <v>100</v>
      </c>
      <c r="AM9" s="25" t="s">
        <v>100</v>
      </c>
    </row>
    <row r="10" spans="1:39" ht="32.25">
      <c r="A10" s="29" t="s">
        <v>107</v>
      </c>
      <c r="B10" s="31">
        <v>6.9</v>
      </c>
      <c r="C10" s="32">
        <v>2.5</v>
      </c>
      <c r="D10" s="25">
        <v>7.4</v>
      </c>
      <c r="E10" s="25">
        <v>1.1000000000000001</v>
      </c>
      <c r="F10" s="25">
        <v>8.3000000000000007</v>
      </c>
      <c r="G10" s="25">
        <v>2.6</v>
      </c>
      <c r="H10" s="25">
        <v>5.9</v>
      </c>
      <c r="I10" s="25">
        <v>2.9</v>
      </c>
      <c r="J10" s="25" t="s">
        <v>100</v>
      </c>
      <c r="K10" s="25" t="s">
        <v>100</v>
      </c>
      <c r="L10" s="25" t="s">
        <v>100</v>
      </c>
      <c r="M10" s="25" t="s">
        <v>100</v>
      </c>
      <c r="N10" s="25">
        <v>5.9</v>
      </c>
      <c r="O10" s="25">
        <v>3.2</v>
      </c>
      <c r="P10" s="25" t="s">
        <v>100</v>
      </c>
      <c r="Q10" s="25" t="s">
        <v>100</v>
      </c>
      <c r="R10" s="25" t="s">
        <v>100</v>
      </c>
      <c r="S10" s="25" t="s">
        <v>100</v>
      </c>
      <c r="T10" s="25" t="s">
        <v>100</v>
      </c>
      <c r="U10" s="25" t="s">
        <v>100</v>
      </c>
      <c r="V10" s="25" t="s">
        <v>100</v>
      </c>
      <c r="W10" s="25" t="s">
        <v>100</v>
      </c>
      <c r="X10" s="25" t="s">
        <v>100</v>
      </c>
      <c r="Y10" s="25" t="s">
        <v>100</v>
      </c>
      <c r="Z10" s="25" t="s">
        <v>100</v>
      </c>
      <c r="AA10" s="25" t="s">
        <v>100</v>
      </c>
      <c r="AB10" s="25" t="s">
        <v>100</v>
      </c>
      <c r="AC10" s="25" t="s">
        <v>100</v>
      </c>
      <c r="AD10" s="25" t="s">
        <v>100</v>
      </c>
      <c r="AE10" s="25" t="s">
        <v>100</v>
      </c>
      <c r="AF10" s="25" t="s">
        <v>100</v>
      </c>
      <c r="AG10" s="25" t="s">
        <v>100</v>
      </c>
      <c r="AH10" s="25" t="s">
        <v>100</v>
      </c>
      <c r="AI10" s="25" t="s">
        <v>100</v>
      </c>
      <c r="AJ10" s="25" t="s">
        <v>100</v>
      </c>
      <c r="AK10" s="25" t="s">
        <v>100</v>
      </c>
      <c r="AL10" s="25" t="s">
        <v>100</v>
      </c>
      <c r="AM10" s="25" t="s">
        <v>100</v>
      </c>
    </row>
    <row r="11" spans="1:39" ht="32.25">
      <c r="A11" s="29" t="s">
        <v>108</v>
      </c>
      <c r="B11" s="31">
        <v>3</v>
      </c>
      <c r="C11" s="32">
        <v>1</v>
      </c>
      <c r="D11" s="25">
        <v>1.4</v>
      </c>
      <c r="E11" s="25">
        <v>1.2</v>
      </c>
      <c r="F11" s="25">
        <v>2.8</v>
      </c>
      <c r="G11" s="25">
        <v>0.7</v>
      </c>
      <c r="H11" s="25">
        <v>4</v>
      </c>
      <c r="I11" s="25">
        <v>0.8</v>
      </c>
      <c r="J11" s="25" t="s">
        <v>100</v>
      </c>
      <c r="K11" s="25" t="s">
        <v>100</v>
      </c>
      <c r="L11" s="25" t="s">
        <v>100</v>
      </c>
      <c r="M11" s="25" t="s">
        <v>100</v>
      </c>
      <c r="N11" s="25">
        <v>3.9</v>
      </c>
      <c r="O11" s="25">
        <v>1.2</v>
      </c>
      <c r="P11" s="25" t="s">
        <v>100</v>
      </c>
      <c r="Q11" s="25" t="s">
        <v>100</v>
      </c>
      <c r="R11" s="25" t="s">
        <v>100</v>
      </c>
      <c r="S11" s="25" t="s">
        <v>100</v>
      </c>
      <c r="T11" s="25" t="s">
        <v>100</v>
      </c>
      <c r="U11" s="25" t="s">
        <v>100</v>
      </c>
      <c r="V11" s="25" t="s">
        <v>100</v>
      </c>
      <c r="W11" s="25" t="s">
        <v>100</v>
      </c>
      <c r="X11" s="25" t="s">
        <v>100</v>
      </c>
      <c r="Y11" s="25" t="s">
        <v>100</v>
      </c>
      <c r="Z11" s="25" t="s">
        <v>100</v>
      </c>
      <c r="AA11" s="25" t="s">
        <v>100</v>
      </c>
      <c r="AB11" s="25" t="s">
        <v>100</v>
      </c>
      <c r="AC11" s="25" t="s">
        <v>100</v>
      </c>
      <c r="AD11" s="25" t="s">
        <v>100</v>
      </c>
      <c r="AE11" s="25" t="s">
        <v>100</v>
      </c>
      <c r="AF11" s="25" t="s">
        <v>100</v>
      </c>
      <c r="AG11" s="25" t="s">
        <v>100</v>
      </c>
      <c r="AH11" s="25" t="s">
        <v>100</v>
      </c>
      <c r="AI11" s="25" t="s">
        <v>100</v>
      </c>
      <c r="AJ11" s="25" t="s">
        <v>100</v>
      </c>
      <c r="AK11" s="25" t="s">
        <v>100</v>
      </c>
      <c r="AL11" s="25" t="s">
        <v>100</v>
      </c>
      <c r="AM11" s="25" t="s">
        <v>100</v>
      </c>
    </row>
    <row r="12" spans="1:39" ht="32.25">
      <c r="A12" s="29" t="s">
        <v>109</v>
      </c>
      <c r="B12" s="31">
        <v>69</v>
      </c>
      <c r="C12" s="32">
        <v>81</v>
      </c>
      <c r="D12" s="25" t="s">
        <v>100</v>
      </c>
      <c r="E12" s="25" t="s">
        <v>100</v>
      </c>
      <c r="F12" s="25" t="s">
        <v>100</v>
      </c>
      <c r="G12" s="25" t="s">
        <v>100</v>
      </c>
      <c r="H12" s="25" t="s">
        <v>100</v>
      </c>
      <c r="I12" s="25" t="s">
        <v>100</v>
      </c>
      <c r="J12" s="25" t="s">
        <v>100</v>
      </c>
      <c r="K12" s="25" t="s">
        <v>100</v>
      </c>
      <c r="L12" s="25" t="s">
        <v>100</v>
      </c>
      <c r="M12" s="25" t="s">
        <v>100</v>
      </c>
      <c r="N12" s="25" t="s">
        <v>100</v>
      </c>
      <c r="O12" s="25" t="s">
        <v>100</v>
      </c>
      <c r="P12" s="25" t="s">
        <v>100</v>
      </c>
      <c r="Q12" s="25" t="s">
        <v>100</v>
      </c>
      <c r="R12" s="25" t="s">
        <v>100</v>
      </c>
      <c r="S12" s="25" t="s">
        <v>100</v>
      </c>
      <c r="T12" s="25" t="s">
        <v>100</v>
      </c>
      <c r="U12" s="25" t="s">
        <v>100</v>
      </c>
      <c r="V12" s="25">
        <v>69</v>
      </c>
      <c r="W12" s="25">
        <v>81</v>
      </c>
      <c r="X12" s="25" t="s">
        <v>100</v>
      </c>
      <c r="Y12" s="25" t="s">
        <v>100</v>
      </c>
      <c r="Z12" s="25" t="s">
        <v>100</v>
      </c>
      <c r="AA12" s="25" t="s">
        <v>100</v>
      </c>
      <c r="AB12" s="25" t="s">
        <v>100</v>
      </c>
      <c r="AC12" s="25" t="s">
        <v>100</v>
      </c>
      <c r="AD12" s="25" t="s">
        <v>100</v>
      </c>
      <c r="AE12" s="25" t="s">
        <v>100</v>
      </c>
      <c r="AF12" s="25" t="s">
        <v>100</v>
      </c>
      <c r="AG12" s="25" t="s">
        <v>100</v>
      </c>
      <c r="AH12" s="25" t="s">
        <v>100</v>
      </c>
      <c r="AI12" s="25" t="s">
        <v>100</v>
      </c>
      <c r="AJ12" s="25" t="s">
        <v>100</v>
      </c>
      <c r="AK12" s="25" t="s">
        <v>100</v>
      </c>
      <c r="AL12" s="25" t="s">
        <v>100</v>
      </c>
      <c r="AM12" s="25" t="s">
        <v>100</v>
      </c>
    </row>
    <row r="13" spans="1:39" ht="32.25">
      <c r="A13" s="30" t="s">
        <v>110</v>
      </c>
      <c r="B13" s="33">
        <v>7.4</v>
      </c>
      <c r="C13" s="34">
        <v>2.2999999999999998</v>
      </c>
      <c r="D13" s="25">
        <v>8.4</v>
      </c>
      <c r="E13" s="25">
        <v>2</v>
      </c>
      <c r="F13" s="25">
        <v>6</v>
      </c>
      <c r="G13" s="25">
        <v>2.2000000000000002</v>
      </c>
      <c r="H13" s="25">
        <v>7.1</v>
      </c>
      <c r="I13" s="25">
        <v>1.5</v>
      </c>
      <c r="J13" s="25" t="s">
        <v>100</v>
      </c>
      <c r="K13" s="25" t="s">
        <v>100</v>
      </c>
      <c r="L13" s="25" t="s">
        <v>100</v>
      </c>
      <c r="M13" s="25" t="s">
        <v>100</v>
      </c>
      <c r="N13" s="25">
        <v>7.9</v>
      </c>
      <c r="O13" s="25">
        <v>3.3</v>
      </c>
      <c r="P13" s="25" t="s">
        <v>100</v>
      </c>
      <c r="Q13" s="25" t="s">
        <v>100</v>
      </c>
      <c r="R13" s="25" t="s">
        <v>100</v>
      </c>
      <c r="S13" s="25" t="s">
        <v>100</v>
      </c>
      <c r="T13" s="25" t="s">
        <v>100</v>
      </c>
      <c r="U13" s="25" t="s">
        <v>100</v>
      </c>
      <c r="V13" s="25" t="s">
        <v>100</v>
      </c>
      <c r="W13" s="25" t="s">
        <v>100</v>
      </c>
      <c r="X13" s="25" t="s">
        <v>100</v>
      </c>
      <c r="Y13" s="25" t="s">
        <v>100</v>
      </c>
      <c r="Z13" s="25" t="s">
        <v>100</v>
      </c>
      <c r="AA13" s="25" t="s">
        <v>100</v>
      </c>
      <c r="AB13" s="25" t="s">
        <v>100</v>
      </c>
      <c r="AC13" s="25" t="s">
        <v>100</v>
      </c>
      <c r="AD13" s="25" t="s">
        <v>100</v>
      </c>
      <c r="AE13" s="25" t="s">
        <v>100</v>
      </c>
      <c r="AF13" s="25" t="s">
        <v>100</v>
      </c>
      <c r="AG13" s="25" t="s">
        <v>100</v>
      </c>
      <c r="AH13" s="25" t="s">
        <v>100</v>
      </c>
      <c r="AI13" s="25" t="s">
        <v>100</v>
      </c>
      <c r="AJ13" s="25" t="s">
        <v>100</v>
      </c>
      <c r="AK13" s="25" t="s">
        <v>100</v>
      </c>
      <c r="AL13" s="25" t="s">
        <v>100</v>
      </c>
      <c r="AM13" s="25" t="s">
        <v>100</v>
      </c>
    </row>
    <row r="19" spans="1:1">
      <c r="A19" s="21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F4C97533AB4D4AB0E3CF7046F02B9B" ma:contentTypeVersion="16" ma:contentTypeDescription="Criar um novo documento." ma:contentTypeScope="" ma:versionID="ebd24b828c3d2fd8b5e2d8fcdcdca610">
  <xsd:schema xmlns:xsd="http://www.w3.org/2001/XMLSchema" xmlns:xs="http://www.w3.org/2001/XMLSchema" xmlns:p="http://schemas.microsoft.com/office/2006/metadata/properties" xmlns:ns2="aec805b8-e1f0-47ef-9b62-e279cd33bd3b" xmlns:ns3="623b8ea9-3cd3-401a-a35a-6ba6e3f85b77" targetNamespace="http://schemas.microsoft.com/office/2006/metadata/properties" ma:root="true" ma:fieldsID="c4394ca9a125a95c1dbe14ff4bb59328" ns2:_="" ns3:_="">
    <xsd:import namespace="aec805b8-e1f0-47ef-9b62-e279cd33bd3b"/>
    <xsd:import namespace="623b8ea9-3cd3-401a-a35a-6ba6e3f85b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805b8-e1f0-47ef-9b62-e279cd33bd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m" ma:readOnly="false" ma:fieldId="{5cf76f15-5ced-4ddc-b409-7134ff3c332f}" ma:taxonomyMulti="true" ma:sspId="c3a666fd-dd3b-4cce-96ec-2ee377191f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3b8ea9-3cd3-401a-a35a-6ba6e3f85b7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82c5e6f-e139-42ed-b3a1-223f346af4aa}" ma:internalName="TaxCatchAll" ma:showField="CatchAllData" ma:web="623b8ea9-3cd3-401a-a35a-6ba6e3f85b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c805b8-e1f0-47ef-9b62-e279cd33bd3b">
      <Terms xmlns="http://schemas.microsoft.com/office/infopath/2007/PartnerControls"/>
    </lcf76f155ced4ddcb4097134ff3c332f>
    <TaxCatchAll xmlns="623b8ea9-3cd3-401a-a35a-6ba6e3f85b77" xsi:nil="true"/>
  </documentManagement>
</p:properties>
</file>

<file path=customXml/itemProps1.xml><?xml version="1.0" encoding="utf-8"?>
<ds:datastoreItem xmlns:ds="http://schemas.openxmlformats.org/officeDocument/2006/customXml" ds:itemID="{C82E500A-29BD-44DF-95C3-C1FDAB9C34E8}"/>
</file>

<file path=customXml/itemProps2.xml><?xml version="1.0" encoding="utf-8"?>
<ds:datastoreItem xmlns:ds="http://schemas.openxmlformats.org/officeDocument/2006/customXml" ds:itemID="{A16BE9EF-4436-2E45-9A69-4CEDFDC6A866}"/>
</file>

<file path=customXml/itemProps3.xml><?xml version="1.0" encoding="utf-8"?>
<ds:datastoreItem xmlns:ds="http://schemas.openxmlformats.org/officeDocument/2006/customXml" ds:itemID="{57D643F2-801F-4C3F-97C9-9D392A475D70}"/>
</file>

<file path=customXml/itemProps4.xml><?xml version="1.0" encoding="utf-8"?>
<ds:datastoreItem xmlns:ds="http://schemas.openxmlformats.org/officeDocument/2006/customXml" ds:itemID="{210C17BB-B35E-4E77-8A28-0D4146D21C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TAMBURIS</dc:creator>
  <cp:keywords/>
  <dc:description/>
  <cp:lastModifiedBy>o.tamburis</cp:lastModifiedBy>
  <cp:revision/>
  <dcterms:created xsi:type="dcterms:W3CDTF">2025-01-28T12:14:12Z</dcterms:created>
  <dcterms:modified xsi:type="dcterms:W3CDTF">2025-09-02T15:25:12Z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2025-01-28T12:14:34Z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fbc21443-da4f-4497-b9f0-c031bf069405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  <property fmtid="{D5CDD505-2E9C-101B-9397-08002B2CF9AE}" pid="10" name="ContentTypeId">
    <vt:lpwstr>0x01010058F4C97533AB4D4AB0E3CF7046F02B9B</vt:lpwstr>
  </property>
  <property fmtid="{D5CDD505-2E9C-101B-9397-08002B2CF9AE}" pid="11" name="MediaServiceImageTags">
    <vt:lpwstr/>
  </property>
</Properties>
</file>