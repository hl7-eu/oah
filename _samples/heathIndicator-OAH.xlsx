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space\oah\_samples\"/>
    </mc:Choice>
  </mc:AlternateContent>
  <xr:revisionPtr revIDLastSave="0" documentId="13_ncr:1_{D84C9302-11E3-4128-842E-2D6739299DBE}" xr6:coauthVersionLast="47" xr6:coauthVersionMax="47" xr10:uidLastSave="{00000000-0000-0000-0000-000000000000}"/>
  <bookViews>
    <workbookView xWindow="-6510" yWindow="-21710" windowWidth="38620" windowHeight="21100" tabRatio="759" firstSheet="3" activeTab="12" xr2:uid="{00000000-000D-0000-FFFF-FFFF00000000}"/>
  </bookViews>
  <sheets>
    <sheet name="BN_Legenda" sheetId="26" r:id="rId1"/>
    <sheet name="BN_2022_Causes of death" sheetId="27" r:id="rId2"/>
    <sheet name="BN_2024_Disease prevalence" sheetId="28" r:id="rId3"/>
    <sheet name="CO_Legenda" sheetId="29" r:id="rId4"/>
    <sheet name="CO_2012-2016 Causes of death" sheetId="30" r:id="rId5"/>
    <sheet name="CO_2014-2018 Causes of death" sheetId="31" r:id="rId6"/>
    <sheet name="TL_Legenda" sheetId="21" r:id="rId7"/>
    <sheet name="TL_2014-2024_Disease prev." sheetId="25" r:id="rId8"/>
    <sheet name="OS_Legenda" sheetId="32" r:id="rId9"/>
    <sheet name="OS_2023_Cause of death" sheetId="33" r:id="rId10"/>
    <sheet name="OS_2024_Disease prevalence" sheetId="34" r:id="rId11"/>
    <sheet name="GT_Legenda" sheetId="35" r:id="rId12"/>
    <sheet name="GT_2021-2023_Disease prev." sheetId="36" r:id="rId13"/>
  </sheets>
  <definedNames>
    <definedName name="_xlnm._FilterDatabase" localSheetId="2" hidden="1">'BN_2024_Disease prevalence'!$A$2:$AM$14</definedName>
    <definedName name="INSE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33" l="1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E20" i="29" l="1"/>
  <c r="C14" i="28" l="1"/>
  <c r="B14" i="28"/>
  <c r="C13" i="28"/>
  <c r="B13" i="28"/>
  <c r="C12" i="28"/>
  <c r="B12" i="28"/>
  <c r="C11" i="28"/>
  <c r="B11" i="28"/>
  <c r="C10" i="28"/>
  <c r="B10" i="28"/>
  <c r="C9" i="28"/>
  <c r="B9" i="28"/>
  <c r="C8" i="28"/>
  <c r="B8" i="28"/>
  <c r="C7" i="28"/>
  <c r="B7" i="28"/>
  <c r="C6" i="28"/>
  <c r="B6" i="28"/>
  <c r="C5" i="28"/>
  <c r="B5" i="28"/>
  <c r="C4" i="28"/>
  <c r="B4" i="28"/>
  <c r="U18" i="27" l="1"/>
  <c r="K9" i="25" l="1"/>
  <c r="H9" i="25"/>
  <c r="G9" i="25"/>
  <c r="F9" i="25"/>
  <c r="E9" i="25"/>
  <c r="B9" i="25"/>
</calcChain>
</file>

<file path=xl/sharedStrings.xml><?xml version="1.0" encoding="utf-8"?>
<sst xmlns="http://schemas.openxmlformats.org/spreadsheetml/2006/main" count="667" uniqueCount="352">
  <si>
    <t>BN Sample Site</t>
  </si>
  <si>
    <t>BN Parish</t>
  </si>
  <si>
    <t>BN1</t>
  </si>
  <si>
    <t>Capodimonte</t>
  </si>
  <si>
    <t>BN2</t>
  </si>
  <si>
    <t>Cretarossa</t>
  </si>
  <si>
    <t>BN3</t>
  </si>
  <si>
    <t>Ponticelli</t>
  </si>
  <si>
    <t>BN4</t>
  </si>
  <si>
    <t>Serretelle</t>
  </si>
  <si>
    <t>BN13</t>
  </si>
  <si>
    <t>BN5</t>
  </si>
  <si>
    <t>Torre Alfieri</t>
  </si>
  <si>
    <t>BN6</t>
  </si>
  <si>
    <t>San Chirico</t>
  </si>
  <si>
    <t>BN7</t>
  </si>
  <si>
    <t>Margiacca</t>
  </si>
  <si>
    <t>BN8</t>
  </si>
  <si>
    <t>Paduli</t>
  </si>
  <si>
    <t>BN9</t>
  </si>
  <si>
    <t>Masseria Grasso</t>
  </si>
  <si>
    <t>BN10</t>
  </si>
  <si>
    <t>Malacagna</t>
  </si>
  <si>
    <t>BN11</t>
  </si>
  <si>
    <t>Olivola</t>
  </si>
  <si>
    <t>BN12</t>
  </si>
  <si>
    <t>Sant'Angelo</t>
  </si>
  <si>
    <t>BN14</t>
  </si>
  <si>
    <t>Tufara Valle</t>
  </si>
  <si>
    <t>BN15</t>
  </si>
  <si>
    <t>Tressanti</t>
  </si>
  <si>
    <t>BN16</t>
  </si>
  <si>
    <t>BN17</t>
  </si>
  <si>
    <t>BN18</t>
  </si>
  <si>
    <t>Palmenta</t>
  </si>
  <si>
    <t>BN19</t>
  </si>
  <si>
    <t>BN20</t>
  </si>
  <si>
    <t>Ponte</t>
  </si>
  <si>
    <t>Colonna1</t>
  </si>
  <si>
    <t>BN4+BN13</t>
  </si>
  <si>
    <t>BN15+BN16</t>
  </si>
  <si>
    <t>Cause of death</t>
  </si>
  <si>
    <t>TBC</t>
  </si>
  <si>
    <t>Viral Hepatitis</t>
  </si>
  <si>
    <t>infective and parasitic diseases</t>
  </si>
  <si>
    <t>diseases of the blood and hematopoietic organs</t>
  </si>
  <si>
    <t>Diabetes Mellitus</t>
  </si>
  <si>
    <t>endocrine, nutritional and metabolic diseases</t>
  </si>
  <si>
    <t>ischemic diseases of the heart</t>
  </si>
  <si>
    <t>other diseases of the heart</t>
  </si>
  <si>
    <t xml:space="preserve">other diseases of the circulatory system </t>
  </si>
  <si>
    <t>Pneumonia</t>
  </si>
  <si>
    <t>chronic diseases of the lower respiratory tract</t>
  </si>
  <si>
    <t>other diseases of the respiratory system</t>
  </si>
  <si>
    <t>diseases of the skin and subcutaneous tissue</t>
  </si>
  <si>
    <t>accidental poisoning</t>
  </si>
  <si>
    <t>BN Population (30 parishes)</t>
  </si>
  <si>
    <t>Number of deaths per 100.000 inhabitants, per district, for each of the causes considered as relatable to the project</t>
  </si>
  <si>
    <t>% Men</t>
  </si>
  <si>
    <t>% Women</t>
  </si>
  <si>
    <t>BN1M</t>
  </si>
  <si>
    <t>BN1W</t>
  </si>
  <si>
    <t>BN2M</t>
  </si>
  <si>
    <t>BN2W</t>
  </si>
  <si>
    <t>BN3M</t>
  </si>
  <si>
    <t>BN3W</t>
  </si>
  <si>
    <t>BN4M + BN13M</t>
  </si>
  <si>
    <t>BN4W + BN13W</t>
  </si>
  <si>
    <t>BN5M</t>
  </si>
  <si>
    <t>BN5W</t>
  </si>
  <si>
    <t>BN6M</t>
  </si>
  <si>
    <t>BN6W</t>
  </si>
  <si>
    <t>BN7M</t>
  </si>
  <si>
    <t>BN7W</t>
  </si>
  <si>
    <t>BN8M</t>
  </si>
  <si>
    <t>BN8W</t>
  </si>
  <si>
    <t>BN9M</t>
  </si>
  <si>
    <t>BN9W</t>
  </si>
  <si>
    <t>BN10M</t>
  </si>
  <si>
    <t>BN10W</t>
  </si>
  <si>
    <t>BN11M</t>
  </si>
  <si>
    <t>BN11W</t>
  </si>
  <si>
    <t>BN12M</t>
  </si>
  <si>
    <t>BN12W</t>
  </si>
  <si>
    <t>BN14M</t>
  </si>
  <si>
    <t>BN14W</t>
  </si>
  <si>
    <t>BN15M + BN16M</t>
  </si>
  <si>
    <t>BN15W + BN16W</t>
  </si>
  <si>
    <t>BN17M</t>
  </si>
  <si>
    <t>BN17W</t>
  </si>
  <si>
    <t>BN18M</t>
  </si>
  <si>
    <t>BN18W</t>
  </si>
  <si>
    <t>BN19M</t>
  </si>
  <si>
    <t>BN19W</t>
  </si>
  <si>
    <t>BN20M</t>
  </si>
  <si>
    <t>BN20W</t>
  </si>
  <si>
    <t>Indicators</t>
  </si>
  <si>
    <t>% of men and women aged 35-74 yo with high blood pressure (prevalence)</t>
  </si>
  <si>
    <t>% of men and women aged 35-74 yo under treatment for hypertension</t>
  </si>
  <si>
    <t>% of men and women aged 35-74 yo under treatment for high blood pressure</t>
  </si>
  <si>
    <t>% of men and women aged 35-74 yo affected from obesity</t>
  </si>
  <si>
    <t>% of men and women aged 35-74 yo with high total cholesterolemia (≥190 mg/dl)</t>
  </si>
  <si>
    <t>% of men and women aged 35-74 yo under treatment for hypercholesterolemia</t>
  </si>
  <si>
    <t>% of men and women aged 35-74 yo with high total cholesterolemia (≥240 mg/dl)</t>
  </si>
  <si>
    <t xml:space="preserve">% of men and women aged 35-74 yo with high blood sugar/diabetes </t>
  </si>
  <si>
    <t>% of men and women aged 35-74 yo under treatment for diabetes</t>
  </si>
  <si>
    <t>% of men and women aged 35-74 yo not engaging in physical activity</t>
  </si>
  <si>
    <t>% of men and women aged 35-74 yo affected from CVD</t>
  </si>
  <si>
    <t>Cases of disease prevalence per 100.000 inhabitants, per district, for each of the causes considered as relatable to the project</t>
  </si>
  <si>
    <t>BN4W</t>
  </si>
  <si>
    <t>BN13W</t>
  </si>
  <si>
    <t>BN15W</t>
  </si>
  <si>
    <t>BN16W</t>
  </si>
  <si>
    <t>Samlplin_site_ID</t>
  </si>
  <si>
    <t>Parish_name</t>
  </si>
  <si>
    <t>Parish from other sheets of the file</t>
  </si>
  <si>
    <t>COIMBRA Sample Site</t>
  </si>
  <si>
    <t>COIMBRA Parish</t>
  </si>
  <si>
    <t>C1</t>
  </si>
  <si>
    <t>Santa Clara e Castelo Viegas</t>
  </si>
  <si>
    <t>Almalaguês</t>
  </si>
  <si>
    <t>CO1</t>
  </si>
  <si>
    <t>C2</t>
  </si>
  <si>
    <t>Coimbra (Sé Nova, Sta Cruz, Almedina, S.Bartolomeu)</t>
  </si>
  <si>
    <t>Brasfemes</t>
  </si>
  <si>
    <t>CO2</t>
  </si>
  <si>
    <t>C3</t>
  </si>
  <si>
    <t>Santo António dos Olivais</t>
  </si>
  <si>
    <t>Ceira</t>
  </si>
  <si>
    <t>CO3</t>
  </si>
  <si>
    <t>C4</t>
  </si>
  <si>
    <t>Eiras e São Paulo de Frades</t>
  </si>
  <si>
    <t>Cernache</t>
  </si>
  <si>
    <t>C13</t>
  </si>
  <si>
    <t>CO4</t>
  </si>
  <si>
    <t>C5</t>
  </si>
  <si>
    <t>C10</t>
  </si>
  <si>
    <t>CO5</t>
  </si>
  <si>
    <t>C6</t>
  </si>
  <si>
    <t>São João do Campo</t>
  </si>
  <si>
    <t>CO6</t>
  </si>
  <si>
    <t>C7</t>
  </si>
  <si>
    <t>São Silvestre</t>
  </si>
  <si>
    <t>CO7</t>
  </si>
  <si>
    <t>C8</t>
  </si>
  <si>
    <t>São Martinho do Bispo e Ribeira de Frades</t>
  </si>
  <si>
    <t>Torres do Mondego</t>
  </si>
  <si>
    <t>CO8</t>
  </si>
  <si>
    <t>C9</t>
  </si>
  <si>
    <t>Souselas e Botão</t>
  </si>
  <si>
    <t>Antuzede e Vil de Matos</t>
  </si>
  <si>
    <t>CO9</t>
  </si>
  <si>
    <t>Assafarge e Antanhol</t>
  </si>
  <si>
    <t>C14</t>
  </si>
  <si>
    <t>CO10</t>
  </si>
  <si>
    <t>C11</t>
  </si>
  <si>
    <t>CO11</t>
  </si>
  <si>
    <t>C12</t>
  </si>
  <si>
    <t>C19</t>
  </si>
  <si>
    <t>CO12</t>
  </si>
  <si>
    <t>C15</t>
  </si>
  <si>
    <t>C17</t>
  </si>
  <si>
    <t>CO13</t>
  </si>
  <si>
    <t>São Martinho de Árvore e Lamarosa</t>
  </si>
  <si>
    <t>CO14</t>
  </si>
  <si>
    <t>C20</t>
  </si>
  <si>
    <t>CO15</t>
  </si>
  <si>
    <t>C16</t>
  </si>
  <si>
    <t>CO16</t>
  </si>
  <si>
    <t>Taveiro, Ameal e Arzila</t>
  </si>
  <si>
    <t>CO17</t>
  </si>
  <si>
    <t>C18</t>
  </si>
  <si>
    <t>Trouxemil e Torre de Vilela</t>
  </si>
  <si>
    <t>CO18</t>
  </si>
  <si>
    <t>TOT</t>
  </si>
  <si>
    <t>CO19</t>
  </si>
  <si>
    <t>CO20</t>
  </si>
  <si>
    <t>C04 + CO11 + CO19</t>
  </si>
  <si>
    <t>CO5 + CO10</t>
  </si>
  <si>
    <t>CO8 + CO12 + CO20</t>
  </si>
  <si>
    <r>
      <t xml:space="preserve">Hospitalizations due to Diabetes </t>
    </r>
    <r>
      <rPr>
        <i/>
        <sz val="8"/>
        <rFont val="Calibri"/>
        <family val="2"/>
      </rPr>
      <t>Mellitus</t>
    </r>
    <r>
      <rPr>
        <sz val="8"/>
        <rFont val="Calibri"/>
        <family val="2"/>
      </rPr>
      <t xml:space="preserve"> (No. per 100,000 inhabitants) </t>
    </r>
  </si>
  <si>
    <t xml:space="preserve">Hospitalizations due to malignant tumors (number per 100,000 inhabitants) 
</t>
  </si>
  <si>
    <t xml:space="preserve">Hospitalizations due to Hypertension (No. per 100,000 inhabitants) </t>
  </si>
  <si>
    <t xml:space="preserve">Hospitalizations due to Circulatory System Diseases (No. per 100,000 inhabitants) </t>
  </si>
  <si>
    <t xml:space="preserve">Hospitalizations due to respiratory diseases (No. per 100,000 inhabitants) </t>
  </si>
  <si>
    <t xml:space="preserve">Hospitalizations for Asthma (No. per 100,000 inhabitants) </t>
  </si>
  <si>
    <t xml:space="preserve">Hospitalizations avoidable by primary prevention (No. per 100,000 inhabitants) 
</t>
  </si>
  <si>
    <t>Number of deaths per 100.000 inhabitants, per parish, for each of the causes considered as relatable to the project</t>
  </si>
  <si>
    <r>
      <t xml:space="preserve">Mortality due to Diabetes </t>
    </r>
    <r>
      <rPr>
        <i/>
        <sz val="8"/>
        <rFont val="Calibri"/>
        <family val="2"/>
      </rPr>
      <t>Mellitus</t>
    </r>
  </si>
  <si>
    <t>Mortality due to Malignant Tumors</t>
  </si>
  <si>
    <t xml:space="preserve">Mortality from Healthcare-Sensitive Causes </t>
  </si>
  <si>
    <t>Excess Mortality in Winter (No. per 100,000 inhabitants)</t>
  </si>
  <si>
    <t>Toulouse Sample Site</t>
  </si>
  <si>
    <t>Toulouse Parish/District</t>
  </si>
  <si>
    <t>T01</t>
  </si>
  <si>
    <t>Ramonville-Saint-Agne</t>
  </si>
  <si>
    <t>T02</t>
  </si>
  <si>
    <t xml:space="preserve">Ramonville-Saint-Agne </t>
  </si>
  <si>
    <t>T03</t>
  </si>
  <si>
    <t>Auzeville-Tolosane</t>
  </si>
  <si>
    <t>T04</t>
  </si>
  <si>
    <t>Montaudran</t>
  </si>
  <si>
    <t>T05</t>
  </si>
  <si>
    <t>Saint-Orens-de-Gameville</t>
  </si>
  <si>
    <t>T06</t>
  </si>
  <si>
    <t>T07</t>
  </si>
  <si>
    <t>Quint-Fonsegrives</t>
  </si>
  <si>
    <t>T08</t>
  </si>
  <si>
    <t>T09</t>
  </si>
  <si>
    <t>Villeneuve-Tolosane</t>
  </si>
  <si>
    <t>T10</t>
  </si>
  <si>
    <t>T11</t>
  </si>
  <si>
    <t>T12</t>
  </si>
  <si>
    <t>Cugnaux</t>
  </si>
  <si>
    <t>T13</t>
  </si>
  <si>
    <t>T14</t>
  </si>
  <si>
    <t>Portet-sur-Garonne</t>
  </si>
  <si>
    <t>T15</t>
  </si>
  <si>
    <t>Basso Cambo (N/A)</t>
  </si>
  <si>
    <t>T16</t>
  </si>
  <si>
    <t>Tournefeuille</t>
  </si>
  <si>
    <t>T17</t>
  </si>
  <si>
    <t>T18</t>
  </si>
  <si>
    <t>T19</t>
  </si>
  <si>
    <t>T20</t>
  </si>
  <si>
    <t>T01 + T02</t>
  </si>
  <si>
    <t>T05 + T06</t>
  </si>
  <si>
    <t>T07 + T08</t>
  </si>
  <si>
    <t>T09 + T10 + T11 + T13</t>
  </si>
  <si>
    <t>T16 + T17 + T18 + T19 + T20</t>
  </si>
  <si>
    <t>Cases of Gastrointestinal diseases</t>
  </si>
  <si>
    <t>Population</t>
  </si>
  <si>
    <t>Prevalence of Gastrointestinal diseases</t>
  </si>
  <si>
    <t>OSLO Sample Site</t>
  </si>
  <si>
    <t>OSLO Borough</t>
  </si>
  <si>
    <t>OS1</t>
  </si>
  <si>
    <t>Nordre Aker</t>
  </si>
  <si>
    <t>OS2</t>
  </si>
  <si>
    <t>Verste Aker</t>
  </si>
  <si>
    <t>OS3</t>
  </si>
  <si>
    <t>OS4</t>
  </si>
  <si>
    <t>Ullern</t>
  </si>
  <si>
    <t>OS5</t>
  </si>
  <si>
    <t>OS6</t>
  </si>
  <si>
    <t>Nordstrand</t>
  </si>
  <si>
    <t>OS7</t>
  </si>
  <si>
    <t>OS8</t>
  </si>
  <si>
    <t>OS9</t>
  </si>
  <si>
    <t>OS10</t>
  </si>
  <si>
    <t>OS11</t>
  </si>
  <si>
    <t>OS12</t>
  </si>
  <si>
    <t>OS13</t>
  </si>
  <si>
    <t>OS14</t>
  </si>
  <si>
    <t>Bjerke</t>
  </si>
  <si>
    <t>OS15</t>
  </si>
  <si>
    <t>OS16</t>
  </si>
  <si>
    <t>Gamle Oslo</t>
  </si>
  <si>
    <t>OS17</t>
  </si>
  <si>
    <t>Alna</t>
  </si>
  <si>
    <t>OS18</t>
  </si>
  <si>
    <t>OS19</t>
  </si>
  <si>
    <t>Grorud</t>
  </si>
  <si>
    <t>OS20</t>
  </si>
  <si>
    <t>OS1M + OS3M + OS9M</t>
  </si>
  <si>
    <t>OS1W + OS3W + OS9W</t>
  </si>
  <si>
    <t>OS2M + OS10M + OS13M + OS20M</t>
  </si>
  <si>
    <t>OS2W + OS10W + OS13W + OS20W</t>
  </si>
  <si>
    <t>OS4M + OS5M + OS11M + OS12M</t>
  </si>
  <si>
    <t>OS4W + OS6W + OS11W + OS12W</t>
  </si>
  <si>
    <t>OS6M + OS7M + OS8M</t>
  </si>
  <si>
    <t>OS6W + OS7W + OS8W</t>
  </si>
  <si>
    <t>OS14M + OS15M</t>
  </si>
  <si>
    <t>OS14W + OS15W</t>
  </si>
  <si>
    <t>OS16M</t>
  </si>
  <si>
    <t>OS16W</t>
  </si>
  <si>
    <t>OS17M + OS18M</t>
  </si>
  <si>
    <t>OS17W + OS18W</t>
  </si>
  <si>
    <t>OS19M</t>
  </si>
  <si>
    <t>OS19W</t>
  </si>
  <si>
    <t>TOT M (Oslo)</t>
  </si>
  <si>
    <t>TOT W (Oslo)</t>
  </si>
  <si>
    <t xml:space="preserve"> 0-74 yrs, deaths per 100 000 persons, age standardised -  all causes of death</t>
  </si>
  <si>
    <t xml:space="preserve"> 0-74 yrs, deaths per 100 000 persons, age standardised -  cancer</t>
  </si>
  <si>
    <t xml:space="preserve"> 0-74 yrs, deaths per 100 000 persons, age standardised - diabetes</t>
  </si>
  <si>
    <t xml:space="preserve"> 0-74 yrs, deaths per 100 000 persons, age standardised -  cardiovascular disease</t>
  </si>
  <si>
    <t xml:space="preserve"> 0-74 yrs, deaths per 100 000 persons, age standardised -  respiratory disease</t>
  </si>
  <si>
    <t xml:space="preserve"> 0-74 yrs, deaths per 100 000 persons, age standardised -  COPD and lung cancer</t>
  </si>
  <si>
    <t>Boroughs population (% compared to TOT Oslo population)</t>
  </si>
  <si>
    <t>TOT Oslo population (2023)</t>
  </si>
  <si>
    <t>Number of deaths per 100.000 inhabitants, per borough, for each of the causes considered as relatable to the project</t>
  </si>
  <si>
    <t>TOT (M + W)</t>
  </si>
  <si>
    <t>% 18-29 years</t>
  </si>
  <si>
    <t>% 30-39 years</t>
  </si>
  <si>
    <t>% 40-49 years</t>
  </si>
  <si>
    <t>% 50-59 years</t>
  </si>
  <si>
    <t>% 60-69 years</t>
  </si>
  <si>
    <t>% 70 years or above</t>
  </si>
  <si>
    <t>OS4M + OS5M +OS11M + OS12M</t>
  </si>
  <si>
    <t>% of people with long-term disease</t>
  </si>
  <si>
    <t>% of people without  long-term disease</t>
  </si>
  <si>
    <t>% of people with BMI &lt;18,5</t>
  </si>
  <si>
    <t>% of people with BMI 18,5-24,9</t>
  </si>
  <si>
    <t>% of people with BMI 25-29,9</t>
  </si>
  <si>
    <t>% of people with BMI =&gt;30</t>
  </si>
  <si>
    <t>% of people that have or have had Diabetes, COPD or Cardiovascular disease</t>
  </si>
  <si>
    <t>% of people that do not have Diabetes, COPD or Cardiovascular disease</t>
  </si>
  <si>
    <t>% of people experience with mental health issues</t>
  </si>
  <si>
    <t>Cases of disease prevalence per 100.000 inhabitants, per borough, for each of the causes considered as relatable to the project</t>
  </si>
  <si>
    <t>Ghent Sample Site</t>
  </si>
  <si>
    <t>Ghent Parish/District</t>
  </si>
  <si>
    <t>GT01</t>
  </si>
  <si>
    <t>Oosterzele</t>
  </si>
  <si>
    <t>GT02</t>
  </si>
  <si>
    <t>Zottegem</t>
  </si>
  <si>
    <t>GT03</t>
  </si>
  <si>
    <t>GT04</t>
  </si>
  <si>
    <t>GT05</t>
  </si>
  <si>
    <t>Zwalm</t>
  </si>
  <si>
    <t>GT06</t>
  </si>
  <si>
    <t>GT07</t>
  </si>
  <si>
    <t>GT08</t>
  </si>
  <si>
    <t>GT09</t>
  </si>
  <si>
    <t>GT10</t>
  </si>
  <si>
    <t>GT11</t>
  </si>
  <si>
    <t>GT12</t>
  </si>
  <si>
    <t>GT13</t>
  </si>
  <si>
    <t>Merelbeke</t>
  </si>
  <si>
    <t>GT14</t>
  </si>
  <si>
    <t>GT15</t>
  </si>
  <si>
    <t>Melle</t>
  </si>
  <si>
    <t>GT16</t>
  </si>
  <si>
    <t>GT17</t>
  </si>
  <si>
    <t>Gentbrugge</t>
  </si>
  <si>
    <t>GT18</t>
  </si>
  <si>
    <t>Gent Centrum</t>
  </si>
  <si>
    <t>GT19</t>
  </si>
  <si>
    <t>GT20</t>
  </si>
  <si>
    <t>GT02 + GT03 + GT04</t>
  </si>
  <si>
    <t>GT05 + GT06 + GT07 + GT08 + GT09 + GT10 + GT11 + GT12</t>
  </si>
  <si>
    <t>GT13 + GT14</t>
  </si>
  <si>
    <t>GT15 + GT16</t>
  </si>
  <si>
    <t>GT17 + GT19</t>
  </si>
  <si>
    <t>GT18 + GT20</t>
  </si>
  <si>
    <t>Borrelia Burgdoferi</t>
  </si>
  <si>
    <t>Campylobacter</t>
  </si>
  <si>
    <t>Chlamydia Psittaci</t>
  </si>
  <si>
    <t>Cryptosporidium</t>
  </si>
  <si>
    <t>Entamoeba histolytica</t>
  </si>
  <si>
    <t>Escherichia Coli</t>
  </si>
  <si>
    <t>Giarda</t>
  </si>
  <si>
    <t>Salmonella</t>
  </si>
  <si>
    <t>Yersinia enterocolitica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</si>
</sst>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0"/>
      <color indexed="8"/>
      <name val="Helvetica Neue"/>
    </font>
    <font>
      <sz val="12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  <font>
      <b/>
      <i/>
      <sz val="14"/>
      <color theme="1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0"/>
      <name val="Calibri"/>
      <family val="2"/>
    </font>
    <font>
      <b/>
      <i/>
      <sz val="14"/>
      <color rgb="FF000000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Calibri"/>
      <family val="2"/>
    </font>
    <font>
      <sz val="8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i/>
      <sz val="8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i/>
      <sz val="12"/>
      <color theme="1"/>
      <name val="Calibri"/>
      <family val="2"/>
    </font>
    <font>
      <i/>
      <sz val="12"/>
      <color theme="1"/>
      <name val="Helvetica Neue"/>
      <family val="2"/>
      <scheme val="minor"/>
    </font>
    <font>
      <sz val="14"/>
      <color theme="1"/>
      <name val="Calibri"/>
      <family val="2"/>
    </font>
    <font>
      <sz val="12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66C6FF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0" fontId="3" fillId="0" borderId="0"/>
    <xf numFmtId="0" fontId="2" fillId="0" borderId="0"/>
    <xf numFmtId="0" fontId="1" fillId="0" borderId="0"/>
    <xf numFmtId="0" fontId="2" fillId="0" borderId="0"/>
  </cellStyleXfs>
  <cellXfs count="16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4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top" textRotation="90" wrapText="1"/>
    </xf>
    <xf numFmtId="0" fontId="8" fillId="6" borderId="1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vertical="center"/>
    </xf>
    <xf numFmtId="0" fontId="8" fillId="0" borderId="1" xfId="0" applyFont="1" applyBorder="1">
      <alignment vertical="top" wrapText="1"/>
    </xf>
    <xf numFmtId="0" fontId="8" fillId="11" borderId="1" xfId="0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 textRotation="90" wrapText="1"/>
    </xf>
    <xf numFmtId="0" fontId="8" fillId="7" borderId="1" xfId="0" applyFont="1" applyFill="1" applyBorder="1" applyAlignment="1">
      <alignment horizontal="center" vertical="center" textRotation="90" wrapText="1"/>
    </xf>
    <xf numFmtId="0" fontId="8" fillId="8" borderId="1" xfId="0" applyFont="1" applyFill="1" applyBorder="1" applyAlignment="1">
      <alignment horizontal="center" vertical="center" textRotation="90" wrapText="1"/>
    </xf>
    <xf numFmtId="0" fontId="8" fillId="9" borderId="1" xfId="0" applyFont="1" applyFill="1" applyBorder="1" applyAlignment="1">
      <alignment horizontal="center" vertical="center" textRotation="90" wrapText="1"/>
    </xf>
    <xf numFmtId="0" fontId="12" fillId="14" borderId="1" xfId="0" applyFont="1" applyFill="1" applyBorder="1" applyAlignment="1">
      <alignment horizontal="center" vertical="center" textRotation="90" wrapText="1"/>
    </xf>
    <xf numFmtId="0" fontId="14" fillId="1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14" fillId="15" borderId="1" xfId="0" applyFont="1" applyFill="1" applyBorder="1" applyAlignment="1">
      <alignment horizontal="center" vertical="center" textRotation="90" wrapText="1"/>
    </xf>
    <xf numFmtId="0" fontId="8" fillId="4" borderId="1" xfId="0" applyFont="1" applyFill="1" applyBorder="1" applyAlignment="1">
      <alignment horizontal="center" vertical="center" textRotation="90" wrapText="1"/>
    </xf>
    <xf numFmtId="1" fontId="8" fillId="0" borderId="1" xfId="0" applyNumberFormat="1" applyFont="1" applyBorder="1" applyAlignment="1">
      <alignment horizontal="center" vertical="center" wrapText="1"/>
    </xf>
    <xf numFmtId="1" fontId="7" fillId="0" borderId="0" xfId="0" applyNumberFormat="1" applyFont="1">
      <alignment vertical="top" wrapText="1"/>
    </xf>
    <xf numFmtId="2" fontId="8" fillId="0" borderId="0" xfId="0" applyNumberFormat="1" applyFont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1" xfId="3" applyFont="1" applyBorder="1" applyAlignment="1">
      <alignment vertical="center"/>
    </xf>
    <xf numFmtId="0" fontId="9" fillId="16" borderId="1" xfId="3" applyFont="1" applyFill="1" applyBorder="1" applyAlignment="1">
      <alignment vertical="center"/>
    </xf>
    <xf numFmtId="0" fontId="9" fillId="17" borderId="1" xfId="3" applyFont="1" applyFill="1" applyBorder="1" applyAlignment="1">
      <alignment vertical="center"/>
    </xf>
    <xf numFmtId="0" fontId="15" fillId="0" borderId="1" xfId="3" applyFont="1" applyBorder="1" applyAlignment="1">
      <alignment horizontal="center" vertical="center" textRotation="90"/>
    </xf>
    <xf numFmtId="0" fontId="15" fillId="16" borderId="1" xfId="3" applyFont="1" applyFill="1" applyBorder="1" applyAlignment="1">
      <alignment horizontal="center" vertical="center" textRotation="90"/>
    </xf>
    <xf numFmtId="0" fontId="15" fillId="17" borderId="1" xfId="3" applyFont="1" applyFill="1" applyBorder="1" applyAlignment="1">
      <alignment horizontal="center" vertical="center" textRotation="90"/>
    </xf>
    <xf numFmtId="0" fontId="10" fillId="12" borderId="1" xfId="3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textRotation="90"/>
    </xf>
    <xf numFmtId="0" fontId="9" fillId="16" borderId="1" xfId="4" applyFont="1" applyFill="1" applyBorder="1" applyAlignment="1">
      <alignment horizontal="center" vertical="center" textRotation="90"/>
    </xf>
    <xf numFmtId="0" fontId="9" fillId="17" borderId="1" xfId="4" applyFont="1" applyFill="1" applyBorder="1" applyAlignment="1">
      <alignment horizontal="center" vertical="center" textRotation="90"/>
    </xf>
    <xf numFmtId="0" fontId="9" fillId="0" borderId="0" xfId="3" applyFont="1" applyAlignment="1">
      <alignment horizontal="center" vertical="center"/>
    </xf>
    <xf numFmtId="0" fontId="9" fillId="0" borderId="1" xfId="4" applyFont="1" applyBorder="1" applyAlignment="1">
      <alignment vertical="center"/>
    </xf>
    <xf numFmtId="164" fontId="9" fillId="0" borderId="1" xfId="3" applyNumberFormat="1" applyFont="1" applyBorder="1" applyAlignment="1">
      <alignment horizontal="center" vertical="center"/>
    </xf>
    <xf numFmtId="0" fontId="12" fillId="0" borderId="1" xfId="4" applyFont="1" applyBorder="1" applyAlignment="1">
      <alignment vertical="center"/>
    </xf>
    <xf numFmtId="0" fontId="9" fillId="0" borderId="1" xfId="3" applyFont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15" fillId="12" borderId="6" xfId="3" applyFont="1" applyFill="1" applyBorder="1" applyAlignment="1">
      <alignment horizontal="center" vertical="center"/>
    </xf>
    <xf numFmtId="0" fontId="15" fillId="12" borderId="1" xfId="3" applyFont="1" applyFill="1" applyBorder="1" applyAlignment="1">
      <alignment horizontal="center" vertical="center" textRotation="90"/>
    </xf>
    <xf numFmtId="0" fontId="15" fillId="19" borderId="1" xfId="3" applyFont="1" applyFill="1" applyBorder="1" applyAlignment="1">
      <alignment horizontal="center" vertical="center" textRotation="90"/>
    </xf>
    <xf numFmtId="0" fontId="15" fillId="20" borderId="1" xfId="3" applyFont="1" applyFill="1" applyBorder="1" applyAlignment="1">
      <alignment horizontal="center" vertical="center" textRotation="90"/>
    </xf>
    <xf numFmtId="0" fontId="12" fillId="0" borderId="6" xfId="3" applyFont="1" applyBorder="1" applyAlignment="1">
      <alignment vertical="center" wrapText="1"/>
    </xf>
    <xf numFmtId="0" fontId="15" fillId="19" borderId="1" xfId="3" applyFont="1" applyFill="1" applyBorder="1" applyAlignment="1">
      <alignment horizontal="center" vertical="center"/>
    </xf>
    <xf numFmtId="0" fontId="12" fillId="0" borderId="6" xfId="3" applyFont="1" applyBorder="1" applyAlignment="1">
      <alignment vertical="center"/>
    </xf>
    <xf numFmtId="0" fontId="6" fillId="4" borderId="1" xfId="4" applyFont="1" applyFill="1" applyBorder="1" applyAlignment="1">
      <alignment horizontal="center" vertical="center"/>
    </xf>
    <xf numFmtId="0" fontId="16" fillId="21" borderId="0" xfId="4" applyFont="1" applyFill="1" applyAlignment="1">
      <alignment horizontal="center" vertical="center"/>
    </xf>
    <xf numFmtId="0" fontId="5" fillId="0" borderId="0" xfId="4" applyFont="1" applyAlignment="1">
      <alignment vertical="center"/>
    </xf>
    <xf numFmtId="0" fontId="9" fillId="0" borderId="0" xfId="4" applyFont="1" applyAlignment="1">
      <alignment vertical="center"/>
    </xf>
    <xf numFmtId="0" fontId="5" fillId="4" borderId="0" xfId="4" applyFont="1" applyFill="1" applyAlignment="1">
      <alignment vertical="center"/>
    </xf>
    <xf numFmtId="0" fontId="5" fillId="16" borderId="0" xfId="4" applyFont="1" applyFill="1" applyAlignment="1">
      <alignment vertical="center"/>
    </xf>
    <xf numFmtId="0" fontId="5" fillId="0" borderId="0" xfId="4" applyFont="1" applyAlignment="1">
      <alignment horizontal="left" vertical="center"/>
    </xf>
    <xf numFmtId="0" fontId="5" fillId="17" borderId="0" xfId="4" applyFont="1" applyFill="1" applyAlignment="1">
      <alignment vertical="center"/>
    </xf>
    <xf numFmtId="0" fontId="5" fillId="2" borderId="0" xfId="4" applyFont="1" applyFill="1" applyAlignment="1">
      <alignment horizontal="left" vertical="center"/>
    </xf>
    <xf numFmtId="0" fontId="5" fillId="22" borderId="0" xfId="4" applyFont="1" applyFill="1" applyAlignment="1">
      <alignment vertical="center"/>
    </xf>
    <xf numFmtId="0" fontId="4" fillId="0" borderId="0" xfId="4" applyFont="1" applyAlignment="1">
      <alignment vertical="center"/>
    </xf>
    <xf numFmtId="0" fontId="17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15" fillId="12" borderId="6" xfId="4" applyFont="1" applyFill="1" applyBorder="1" applyAlignment="1">
      <alignment horizontal="center" vertical="center"/>
    </xf>
    <xf numFmtId="0" fontId="11" fillId="13" borderId="0" xfId="4" applyFont="1" applyFill="1" applyAlignment="1">
      <alignment horizontal="center" vertical="center" wrapText="1"/>
    </xf>
    <xf numFmtId="0" fontId="11" fillId="13" borderId="0" xfId="4" applyFont="1" applyFill="1" applyAlignment="1">
      <alignment horizontal="center" vertical="center" textRotation="90" wrapText="1"/>
    </xf>
    <xf numFmtId="0" fontId="11" fillId="17" borderId="0" xfId="4" applyFont="1" applyFill="1" applyAlignment="1">
      <alignment horizontal="center" vertical="center" textRotation="90" wrapText="1"/>
    </xf>
    <xf numFmtId="0" fontId="11" fillId="2" borderId="0" xfId="4" applyFont="1" applyFill="1" applyAlignment="1">
      <alignment horizontal="center" vertical="center" textRotation="90" wrapText="1"/>
    </xf>
    <xf numFmtId="0" fontId="11" fillId="22" borderId="0" xfId="4" applyFont="1" applyFill="1" applyAlignment="1">
      <alignment horizontal="center" vertical="center" textRotation="90" wrapText="1"/>
    </xf>
    <xf numFmtId="0" fontId="18" fillId="13" borderId="0" xfId="4" applyFont="1" applyFill="1"/>
    <xf numFmtId="0" fontId="18" fillId="0" borderId="0" xfId="4" applyFont="1"/>
    <xf numFmtId="0" fontId="18" fillId="13" borderId="7" xfId="4" applyFont="1" applyFill="1" applyBorder="1" applyAlignment="1">
      <alignment horizontal="center" vertical="center" textRotation="90" wrapText="1"/>
    </xf>
    <xf numFmtId="0" fontId="18" fillId="13" borderId="8" xfId="4" applyFont="1" applyFill="1" applyBorder="1" applyAlignment="1">
      <alignment horizontal="center" vertical="center" textRotation="90" wrapText="1"/>
    </xf>
    <xf numFmtId="0" fontId="19" fillId="13" borderId="0" xfId="4" applyFont="1" applyFill="1" applyAlignment="1">
      <alignment vertical="center"/>
    </xf>
    <xf numFmtId="0" fontId="20" fillId="0" borderId="0" xfId="4" applyFont="1" applyAlignment="1">
      <alignment horizontal="center" vertical="center"/>
    </xf>
    <xf numFmtId="0" fontId="19" fillId="0" borderId="0" xfId="4" applyFont="1" applyAlignment="1">
      <alignment vertical="center"/>
    </xf>
    <xf numFmtId="0" fontId="18" fillId="0" borderId="1" xfId="4" applyFont="1" applyBorder="1" applyAlignment="1">
      <alignment horizontal="left" vertical="center" wrapText="1"/>
    </xf>
    <xf numFmtId="164" fontId="18" fillId="13" borderId="1" xfId="4" applyNumberFormat="1" applyFont="1" applyFill="1" applyBorder="1" applyAlignment="1">
      <alignment horizontal="center" vertical="center" wrapText="1"/>
    </xf>
    <xf numFmtId="164" fontId="22" fillId="13" borderId="1" xfId="4" applyNumberFormat="1" applyFont="1" applyFill="1" applyBorder="1" applyAlignment="1">
      <alignment horizontal="center" vertical="center" wrapText="1"/>
    </xf>
    <xf numFmtId="164" fontId="18" fillId="13" borderId="9" xfId="4" applyNumberFormat="1" applyFont="1" applyFill="1" applyBorder="1" applyAlignment="1">
      <alignment horizontal="center" vertical="center" wrapText="1"/>
    </xf>
    <xf numFmtId="164" fontId="22" fillId="13" borderId="9" xfId="4" applyNumberFormat="1" applyFont="1" applyFill="1" applyBorder="1" applyAlignment="1">
      <alignment horizontal="center" vertical="center" wrapText="1"/>
    </xf>
    <xf numFmtId="0" fontId="18" fillId="0" borderId="0" xfId="4" applyFont="1" applyAlignment="1">
      <alignment horizontal="left"/>
    </xf>
    <xf numFmtId="0" fontId="13" fillId="0" borderId="0" xfId="4" applyFont="1" applyAlignment="1">
      <alignment vertical="center"/>
    </xf>
    <xf numFmtId="0" fontId="18" fillId="13" borderId="0" xfId="4" applyFont="1" applyFill="1" applyAlignment="1">
      <alignment horizontal="center"/>
    </xf>
    <xf numFmtId="0" fontId="23" fillId="13" borderId="0" xfId="4" applyFont="1" applyFill="1" applyAlignment="1">
      <alignment vertical="top" wrapText="1"/>
    </xf>
    <xf numFmtId="0" fontId="23" fillId="0" borderId="0" xfId="4" applyFont="1" applyAlignment="1">
      <alignment vertical="top" wrapText="1"/>
    </xf>
    <xf numFmtId="0" fontId="20" fillId="13" borderId="0" xfId="4" applyFont="1" applyFill="1" applyAlignment="1">
      <alignment vertical="center"/>
    </xf>
    <xf numFmtId="164" fontId="22" fillId="22" borderId="1" xfId="4" applyNumberFormat="1" applyFont="1" applyFill="1" applyBorder="1" applyAlignment="1">
      <alignment horizontal="center" vertical="center" wrapText="1"/>
    </xf>
    <xf numFmtId="164" fontId="18" fillId="23" borderId="1" xfId="4" applyNumberFormat="1" applyFont="1" applyFill="1" applyBorder="1" applyAlignment="1">
      <alignment horizontal="center" vertical="center" wrapText="1"/>
    </xf>
    <xf numFmtId="164" fontId="18" fillId="22" borderId="1" xfId="4" applyNumberFormat="1" applyFont="1" applyFill="1" applyBorder="1" applyAlignment="1">
      <alignment horizontal="center" vertical="center" wrapText="1"/>
    </xf>
    <xf numFmtId="164" fontId="22" fillId="23" borderId="1" xfId="4" applyNumberFormat="1" applyFont="1" applyFill="1" applyBorder="1" applyAlignment="1">
      <alignment horizontal="center" vertical="center" wrapText="1"/>
    </xf>
    <xf numFmtId="164" fontId="18" fillId="23" borderId="9" xfId="4" applyNumberFormat="1" applyFont="1" applyFill="1" applyBorder="1" applyAlignment="1">
      <alignment horizontal="center" vertical="center" wrapText="1"/>
    </xf>
    <xf numFmtId="164" fontId="18" fillId="0" borderId="0" xfId="4" applyNumberFormat="1" applyFont="1"/>
    <xf numFmtId="164" fontId="20" fillId="0" borderId="0" xfId="4" applyNumberFormat="1" applyFont="1"/>
    <xf numFmtId="164" fontId="18" fillId="22" borderId="9" xfId="4" applyNumberFormat="1" applyFont="1" applyFill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 wrapText="1"/>
    </xf>
    <xf numFmtId="164" fontId="22" fillId="0" borderId="1" xfId="4" applyNumberFormat="1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center" vertical="center" wrapText="1"/>
    </xf>
    <xf numFmtId="0" fontId="9" fillId="24" borderId="0" xfId="3" applyFont="1" applyFill="1" applyAlignment="1">
      <alignment vertical="center"/>
    </xf>
    <xf numFmtId="0" fontId="9" fillId="25" borderId="0" xfId="3" applyFont="1" applyFill="1" applyAlignment="1">
      <alignment vertical="center"/>
    </xf>
    <xf numFmtId="0" fontId="9" fillId="4" borderId="0" xfId="3" applyFont="1" applyFill="1" applyAlignment="1">
      <alignment vertical="center"/>
    </xf>
    <xf numFmtId="0" fontId="9" fillId="2" borderId="0" xfId="3" applyFont="1" applyFill="1" applyAlignment="1">
      <alignment vertical="center"/>
    </xf>
    <xf numFmtId="0" fontId="9" fillId="17" borderId="0" xfId="3" applyFont="1" applyFill="1" applyAlignment="1">
      <alignment vertical="center"/>
    </xf>
    <xf numFmtId="0" fontId="9" fillId="6" borderId="0" xfId="3" applyFont="1" applyFill="1" applyAlignment="1">
      <alignment vertical="center"/>
    </xf>
    <xf numFmtId="0" fontId="9" fillId="26" borderId="0" xfId="3" applyFont="1" applyFill="1" applyAlignment="1">
      <alignment vertical="center"/>
    </xf>
    <xf numFmtId="0" fontId="9" fillId="27" borderId="0" xfId="3" applyFont="1" applyFill="1" applyAlignment="1">
      <alignment vertical="center"/>
    </xf>
    <xf numFmtId="0" fontId="9" fillId="0" borderId="0" xfId="3" applyFont="1" applyAlignment="1">
      <alignment vertical="center" wrapText="1"/>
    </xf>
    <xf numFmtId="0" fontId="6" fillId="24" borderId="0" xfId="3" applyFont="1" applyFill="1" applyAlignment="1">
      <alignment horizontal="center" vertical="center" textRotation="90"/>
    </xf>
    <xf numFmtId="0" fontId="6" fillId="25" borderId="0" xfId="3" applyFont="1" applyFill="1" applyAlignment="1">
      <alignment horizontal="center" vertical="center" textRotation="90"/>
    </xf>
    <xf numFmtId="0" fontId="11" fillId="4" borderId="0" xfId="3" applyFont="1" applyFill="1" applyAlignment="1">
      <alignment horizontal="center" vertical="center" textRotation="90" wrapText="1"/>
    </xf>
    <xf numFmtId="0" fontId="11" fillId="2" borderId="0" xfId="3" applyFont="1" applyFill="1" applyAlignment="1">
      <alignment horizontal="center" vertical="center" textRotation="90" wrapText="1"/>
    </xf>
    <xf numFmtId="0" fontId="11" fillId="17" borderId="0" xfId="3" applyFont="1" applyFill="1" applyAlignment="1">
      <alignment horizontal="center" vertical="center" textRotation="90" wrapText="1"/>
    </xf>
    <xf numFmtId="0" fontId="11" fillId="6" borderId="0" xfId="3" applyFont="1" applyFill="1" applyAlignment="1">
      <alignment horizontal="center" vertical="center" textRotation="90" wrapText="1"/>
    </xf>
    <xf numFmtId="0" fontId="6" fillId="26" borderId="0" xfId="3" applyFont="1" applyFill="1" applyAlignment="1">
      <alignment horizontal="center" vertical="center" textRotation="90"/>
    </xf>
    <xf numFmtId="0" fontId="11" fillId="27" borderId="0" xfId="3" applyFont="1" applyFill="1" applyAlignment="1">
      <alignment horizontal="center" vertical="center" textRotation="90" wrapText="1"/>
    </xf>
    <xf numFmtId="0" fontId="10" fillId="12" borderId="1" xfId="3" applyFont="1" applyFill="1" applyBorder="1" applyAlignment="1">
      <alignment horizontal="center" vertical="center" textRotation="90" wrapText="1"/>
    </xf>
    <xf numFmtId="0" fontId="1" fillId="0" borderId="1" xfId="3" applyBorder="1" applyAlignment="1">
      <alignment vertical="center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0" xfId="3" applyFont="1" applyAlignment="1">
      <alignment wrapText="1"/>
    </xf>
    <xf numFmtId="0" fontId="9" fillId="0" borderId="1" xfId="3" applyFont="1" applyBorder="1" applyAlignment="1">
      <alignment horizontal="left" vertical="center" wrapText="1"/>
    </xf>
    <xf numFmtId="0" fontId="9" fillId="4" borderId="1" xfId="3" applyFont="1" applyFill="1" applyBorder="1" applyAlignment="1">
      <alignment horizontal="center" vertical="center" wrapText="1"/>
    </xf>
    <xf numFmtId="0" fontId="26" fillId="0" borderId="0" xfId="3" applyFont="1" applyAlignment="1">
      <alignment horizontal="center" vertical="center" wrapText="1"/>
    </xf>
    <xf numFmtId="0" fontId="12" fillId="0" borderId="1" xfId="3" applyFont="1" applyBorder="1"/>
    <xf numFmtId="0" fontId="12" fillId="3" borderId="1" xfId="3" applyFont="1" applyFill="1" applyBorder="1"/>
    <xf numFmtId="0" fontId="12" fillId="5" borderId="1" xfId="3" applyFont="1" applyFill="1" applyBorder="1"/>
    <xf numFmtId="0" fontId="12" fillId="28" borderId="1" xfId="3" applyFont="1" applyFill="1" applyBorder="1"/>
    <xf numFmtId="0" fontId="12" fillId="29" borderId="1" xfId="3" applyFont="1" applyFill="1" applyBorder="1"/>
    <xf numFmtId="0" fontId="12" fillId="16" borderId="1" xfId="3" applyFont="1" applyFill="1" applyBorder="1"/>
    <xf numFmtId="0" fontId="11" fillId="13" borderId="1" xfId="3" applyFont="1" applyFill="1" applyBorder="1" applyAlignment="1">
      <alignment horizontal="center" vertical="center" textRotation="90" wrapText="1"/>
    </xf>
    <xf numFmtId="0" fontId="11" fillId="3" borderId="1" xfId="3" applyFont="1" applyFill="1" applyBorder="1" applyAlignment="1">
      <alignment horizontal="center" vertical="center" textRotation="90" wrapText="1"/>
    </xf>
    <xf numFmtId="0" fontId="11" fillId="5" borderId="1" xfId="3" applyFont="1" applyFill="1" applyBorder="1" applyAlignment="1">
      <alignment horizontal="center" vertical="center" textRotation="90" wrapText="1"/>
    </xf>
    <xf numFmtId="0" fontId="11" fillId="28" borderId="1" xfId="3" applyFont="1" applyFill="1" applyBorder="1" applyAlignment="1">
      <alignment horizontal="center" vertical="center" textRotation="90" wrapText="1"/>
    </xf>
    <xf numFmtId="0" fontId="11" fillId="29" borderId="1" xfId="3" applyFont="1" applyFill="1" applyBorder="1" applyAlignment="1">
      <alignment horizontal="center" vertical="center" textRotation="90" wrapText="1"/>
    </xf>
    <xf numFmtId="0" fontId="11" fillId="16" borderId="1" xfId="3" applyFont="1" applyFill="1" applyBorder="1" applyAlignment="1">
      <alignment horizontal="center" vertical="center" textRotation="90" wrapText="1"/>
    </xf>
    <xf numFmtId="0" fontId="11" fillId="17" borderId="1" xfId="3" applyFont="1" applyFill="1" applyBorder="1" applyAlignment="1">
      <alignment horizontal="center" vertical="center" textRotation="90" wrapText="1"/>
    </xf>
    <xf numFmtId="0" fontId="27" fillId="13" borderId="1" xfId="3" applyFont="1" applyFill="1" applyBorder="1" applyAlignment="1">
      <alignment horizontal="center" vertical="center" textRotation="90" wrapText="1"/>
    </xf>
    <xf numFmtId="0" fontId="15" fillId="0" borderId="10" xfId="3" applyFont="1" applyBorder="1" applyAlignment="1">
      <alignment horizontal="center" vertical="center" textRotation="90"/>
    </xf>
    <xf numFmtId="0" fontId="15" fillId="0" borderId="2" xfId="3" applyFont="1" applyBorder="1" applyAlignment="1">
      <alignment horizontal="center" vertical="center" textRotation="90"/>
    </xf>
    <xf numFmtId="0" fontId="15" fillId="20" borderId="10" xfId="3" applyFont="1" applyFill="1" applyBorder="1" applyAlignment="1">
      <alignment horizontal="center" vertical="center" textRotation="90"/>
    </xf>
    <xf numFmtId="0" fontId="15" fillId="20" borderId="2" xfId="3" applyFont="1" applyFill="1" applyBorder="1" applyAlignment="1">
      <alignment horizontal="center" vertical="center" textRotation="90"/>
    </xf>
    <xf numFmtId="0" fontId="15" fillId="18" borderId="4" xfId="3" applyFont="1" applyFill="1" applyBorder="1" applyAlignment="1">
      <alignment horizontal="center" vertical="center"/>
    </xf>
    <xf numFmtId="0" fontId="15" fillId="18" borderId="5" xfId="3" applyFont="1" applyFill="1" applyBorder="1" applyAlignment="1">
      <alignment horizontal="center" vertical="center"/>
    </xf>
    <xf numFmtId="0" fontId="15" fillId="19" borderId="10" xfId="3" applyFont="1" applyFill="1" applyBorder="1" applyAlignment="1">
      <alignment horizontal="center" vertical="center" textRotation="90"/>
    </xf>
    <xf numFmtId="0" fontId="15" fillId="19" borderId="2" xfId="3" applyFont="1" applyFill="1" applyBorder="1" applyAlignment="1">
      <alignment horizontal="center" vertical="center" textRotation="90"/>
    </xf>
    <xf numFmtId="0" fontId="15" fillId="0" borderId="10" xfId="3" applyFont="1" applyBorder="1" applyAlignment="1">
      <alignment horizontal="center" vertical="center" textRotation="90" wrapText="1"/>
    </xf>
    <xf numFmtId="0" fontId="15" fillId="0" borderId="2" xfId="3" applyFont="1" applyBorder="1" applyAlignment="1">
      <alignment horizontal="center" vertical="center" textRotation="90" wrapText="1"/>
    </xf>
    <xf numFmtId="0" fontId="24" fillId="0" borderId="0" xfId="3" applyFont="1" applyAlignment="1">
      <alignment horizontal="center" vertical="center" wrapText="1"/>
    </xf>
    <xf numFmtId="0" fontId="5" fillId="0" borderId="10" xfId="3" applyFont="1" applyBorder="1" applyAlignment="1">
      <alignment horizontal="center" vertical="center" textRotation="90" wrapText="1"/>
    </xf>
    <xf numFmtId="0" fontId="5" fillId="0" borderId="3" xfId="3" applyFont="1" applyBorder="1" applyAlignment="1">
      <alignment horizontal="center" vertical="center" textRotation="90" wrapText="1"/>
    </xf>
    <xf numFmtId="0" fontId="5" fillId="0" borderId="1" xfId="3" applyFont="1" applyBorder="1" applyAlignment="1">
      <alignment horizontal="center" vertical="center" textRotation="90" wrapText="1"/>
    </xf>
    <xf numFmtId="9" fontId="9" fillId="0" borderId="0" xfId="3" applyNumberFormat="1" applyFont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5" fillId="0" borderId="2" xfId="3" applyFont="1" applyBorder="1" applyAlignment="1">
      <alignment horizontal="center" vertical="center" textRotation="90" wrapText="1"/>
    </xf>
  </cellXfs>
  <cellStyles count="5">
    <cellStyle name="Normal 2" xfId="2" xr:uid="{771E7172-7A56-475A-9EED-507B2450C143}"/>
    <cellStyle name="Normale" xfId="0" builtinId="0"/>
    <cellStyle name="Normale 2" xfId="1" xr:uid="{BDCF8987-0C59-4C30-BA95-6123F8FECFAB}"/>
    <cellStyle name="Normale 2 2" xfId="4" xr:uid="{BEE29D81-9ABD-D246-8F9B-8F73720432C5}"/>
    <cellStyle name="Normale 3" xfId="3" xr:uid="{4DDD358D-7ED2-274D-BB80-EC7E685F5218}"/>
  </cellStyles>
  <dxfs count="38"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alignment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bgColor auto="1"/>
        </patternFill>
      </fill>
      <alignment vertical="center" wrapText="0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30"/>
      <c:rotY val="5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'BN_2024_Disease prevalence'!$B$79</c:f>
              <c:strCache>
                <c:ptCount val="1"/>
                <c:pt idx="0">
                  <c:v>BN1W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prevalence'!$B$80:$B$90</c:f>
              <c:numCache>
                <c:formatCode>0.0</c:formatCode>
                <c:ptCount val="11"/>
                <c:pt idx="0">
                  <c:v>20</c:v>
                </c:pt>
                <c:pt idx="1">
                  <c:v>23</c:v>
                </c:pt>
                <c:pt idx="2">
                  <c:v>33</c:v>
                </c:pt>
                <c:pt idx="3">
                  <c:v>29</c:v>
                </c:pt>
                <c:pt idx="4">
                  <c:v>64</c:v>
                </c:pt>
                <c:pt idx="5">
                  <c:v>18</c:v>
                </c:pt>
                <c:pt idx="6">
                  <c:v>31</c:v>
                </c:pt>
                <c:pt idx="7">
                  <c:v>1.1000000000000001</c:v>
                </c:pt>
                <c:pt idx="8">
                  <c:v>1.2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7-D143-9CD6-306A743E73F1}"/>
            </c:ext>
          </c:extLst>
        </c:ser>
        <c:ser>
          <c:idx val="1"/>
          <c:order val="1"/>
          <c:tx>
            <c:strRef>
              <c:f>'BN_2024_Disease prevalence'!$C$79</c:f>
              <c:strCache>
                <c:ptCount val="1"/>
                <c:pt idx="0">
                  <c:v>BN2W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prevalence'!$C$80:$C$90</c:f>
              <c:numCache>
                <c:formatCode>0.0</c:formatCode>
                <c:ptCount val="11"/>
                <c:pt idx="0">
                  <c:v>22</c:v>
                </c:pt>
                <c:pt idx="1">
                  <c:v>31</c:v>
                </c:pt>
                <c:pt idx="2">
                  <c:v>38</c:v>
                </c:pt>
                <c:pt idx="3">
                  <c:v>23</c:v>
                </c:pt>
                <c:pt idx="4">
                  <c:v>61</c:v>
                </c:pt>
                <c:pt idx="5">
                  <c:v>26</c:v>
                </c:pt>
                <c:pt idx="6">
                  <c:v>28</c:v>
                </c:pt>
                <c:pt idx="7">
                  <c:v>2.6</c:v>
                </c:pt>
                <c:pt idx="8">
                  <c:v>0.7</c:v>
                </c:pt>
                <c:pt idx="1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7-D143-9CD6-306A743E73F1}"/>
            </c:ext>
          </c:extLst>
        </c:ser>
        <c:ser>
          <c:idx val="2"/>
          <c:order val="2"/>
          <c:tx>
            <c:strRef>
              <c:f>'BN_2024_Disease prevalence'!$D$79</c:f>
              <c:strCache>
                <c:ptCount val="1"/>
                <c:pt idx="0">
                  <c:v>BN3W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prevalence'!$D$80:$D$90</c:f>
              <c:numCache>
                <c:formatCode>0.0</c:formatCode>
                <c:ptCount val="11"/>
                <c:pt idx="0">
                  <c:v>33</c:v>
                </c:pt>
                <c:pt idx="1">
                  <c:v>38</c:v>
                </c:pt>
                <c:pt idx="2">
                  <c:v>50</c:v>
                </c:pt>
                <c:pt idx="3">
                  <c:v>28</c:v>
                </c:pt>
                <c:pt idx="4">
                  <c:v>69</c:v>
                </c:pt>
                <c:pt idx="5">
                  <c:v>20</c:v>
                </c:pt>
                <c:pt idx="6">
                  <c:v>21</c:v>
                </c:pt>
                <c:pt idx="7">
                  <c:v>2.9</c:v>
                </c:pt>
                <c:pt idx="8">
                  <c:v>0.8</c:v>
                </c:pt>
                <c:pt idx="1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C7-D143-9CD6-306A743E73F1}"/>
            </c:ext>
          </c:extLst>
        </c:ser>
        <c:ser>
          <c:idx val="3"/>
          <c:order val="3"/>
          <c:tx>
            <c:strRef>
              <c:f>'BN_2024_Disease prevalence'!$E$79</c:f>
              <c:strCache>
                <c:ptCount val="1"/>
                <c:pt idx="0">
                  <c:v>BN4W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prevalence'!$E$80:$E$90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17C7-D143-9CD6-306A743E73F1}"/>
            </c:ext>
          </c:extLst>
        </c:ser>
        <c:ser>
          <c:idx val="4"/>
          <c:order val="4"/>
          <c:tx>
            <c:strRef>
              <c:f>'BN_2024_Disease prevalence'!$F$79</c:f>
              <c:strCache>
                <c:ptCount val="1"/>
                <c:pt idx="0">
                  <c:v>BN5W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prevalence'!$F$80:$F$90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4-17C7-D143-9CD6-306A743E73F1}"/>
            </c:ext>
          </c:extLst>
        </c:ser>
        <c:ser>
          <c:idx val="5"/>
          <c:order val="5"/>
          <c:tx>
            <c:strRef>
              <c:f>'BN_2024_Disease prevalence'!$G$79</c:f>
              <c:strCache>
                <c:ptCount val="1"/>
                <c:pt idx="0">
                  <c:v>BN6W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prevalence'!$G$80:$G$90</c:f>
              <c:numCache>
                <c:formatCode>0.0</c:formatCode>
                <c:ptCount val="11"/>
                <c:pt idx="0">
                  <c:v>29</c:v>
                </c:pt>
                <c:pt idx="1">
                  <c:v>32</c:v>
                </c:pt>
                <c:pt idx="2">
                  <c:v>51</c:v>
                </c:pt>
                <c:pt idx="3">
                  <c:v>28</c:v>
                </c:pt>
                <c:pt idx="4">
                  <c:v>58</c:v>
                </c:pt>
                <c:pt idx="5">
                  <c:v>16</c:v>
                </c:pt>
                <c:pt idx="6">
                  <c:v>24</c:v>
                </c:pt>
                <c:pt idx="7">
                  <c:v>3.2</c:v>
                </c:pt>
                <c:pt idx="8">
                  <c:v>1.2</c:v>
                </c:pt>
                <c:pt idx="10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C7-D143-9CD6-306A743E73F1}"/>
            </c:ext>
          </c:extLst>
        </c:ser>
        <c:ser>
          <c:idx val="6"/>
          <c:order val="6"/>
          <c:tx>
            <c:strRef>
              <c:f>'BN_2024_Disease prevalence'!$H$79</c:f>
              <c:strCache>
                <c:ptCount val="1"/>
                <c:pt idx="0">
                  <c:v>BN7W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prevalence'!$H$80:$H$90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6-17C7-D143-9CD6-306A743E73F1}"/>
            </c:ext>
          </c:extLst>
        </c:ser>
        <c:ser>
          <c:idx val="7"/>
          <c:order val="7"/>
          <c:tx>
            <c:strRef>
              <c:f>'BN_2024_Disease prevalence'!$I$79</c:f>
              <c:strCache>
                <c:ptCount val="1"/>
                <c:pt idx="0">
                  <c:v>BN8W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prevalence'!$I$80:$I$90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7-17C7-D143-9CD6-306A743E73F1}"/>
            </c:ext>
          </c:extLst>
        </c:ser>
        <c:ser>
          <c:idx val="8"/>
          <c:order val="8"/>
          <c:tx>
            <c:strRef>
              <c:f>'BN_2024_Disease prevalence'!$J$79</c:f>
              <c:strCache>
                <c:ptCount val="1"/>
                <c:pt idx="0">
                  <c:v>BN9W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prevalence'!$J$80:$J$90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8-17C7-D143-9CD6-306A743E73F1}"/>
            </c:ext>
          </c:extLst>
        </c:ser>
        <c:ser>
          <c:idx val="9"/>
          <c:order val="9"/>
          <c:tx>
            <c:strRef>
              <c:f>'BN_2024_Disease prevalence'!$K$79</c:f>
              <c:strCache>
                <c:ptCount val="1"/>
                <c:pt idx="0">
                  <c:v>BN10W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prevalence'!$K$80:$K$90</c:f>
              <c:numCache>
                <c:formatCode>0.0</c:formatCode>
                <c:ptCount val="11"/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C7-D143-9CD6-306A743E73F1}"/>
            </c:ext>
          </c:extLst>
        </c:ser>
        <c:ser>
          <c:idx val="10"/>
          <c:order val="10"/>
          <c:tx>
            <c:strRef>
              <c:f>'BN_2024_Disease prevalence'!$L$79</c:f>
              <c:strCache>
                <c:ptCount val="1"/>
                <c:pt idx="0">
                  <c:v>BN11W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prevalence'!$L$80:$L$90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A-17C7-D143-9CD6-306A743E73F1}"/>
            </c:ext>
          </c:extLst>
        </c:ser>
        <c:ser>
          <c:idx val="11"/>
          <c:order val="11"/>
          <c:tx>
            <c:strRef>
              <c:f>'BN_2024_Disease prevalence'!$M$79</c:f>
              <c:strCache>
                <c:ptCount val="1"/>
                <c:pt idx="0">
                  <c:v>BN12W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prevalence'!$M$80:$M$90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B-17C7-D143-9CD6-306A743E73F1}"/>
            </c:ext>
          </c:extLst>
        </c:ser>
        <c:ser>
          <c:idx val="12"/>
          <c:order val="12"/>
          <c:tx>
            <c:strRef>
              <c:f>'BN_2024_Disease prevalence'!$N$79</c:f>
              <c:strCache>
                <c:ptCount val="1"/>
                <c:pt idx="0">
                  <c:v>BN13W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prevalence'!$N$80:$N$90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C-17C7-D143-9CD6-306A743E73F1}"/>
            </c:ext>
          </c:extLst>
        </c:ser>
        <c:ser>
          <c:idx val="13"/>
          <c:order val="13"/>
          <c:tx>
            <c:strRef>
              <c:f>'BN_2024_Disease prevalence'!$O$79</c:f>
              <c:strCache>
                <c:ptCount val="1"/>
                <c:pt idx="0">
                  <c:v>BN14W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prevalence'!$O$80:$O$90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D-17C7-D143-9CD6-306A743E73F1}"/>
            </c:ext>
          </c:extLst>
        </c:ser>
        <c:ser>
          <c:idx val="14"/>
          <c:order val="14"/>
          <c:tx>
            <c:strRef>
              <c:f>'BN_2024_Disease prevalence'!$P$79</c:f>
              <c:strCache>
                <c:ptCount val="1"/>
                <c:pt idx="0">
                  <c:v>BN15W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prevalence'!$P$80:$P$90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E-17C7-D143-9CD6-306A743E73F1}"/>
            </c:ext>
          </c:extLst>
        </c:ser>
        <c:ser>
          <c:idx val="15"/>
          <c:order val="15"/>
          <c:tx>
            <c:strRef>
              <c:f>'BN_2024_Disease prevalence'!$Q$79</c:f>
              <c:strCache>
                <c:ptCount val="1"/>
                <c:pt idx="0">
                  <c:v>BN16W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prevalence'!$Q$80:$Q$90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F-17C7-D143-9CD6-306A743E73F1}"/>
            </c:ext>
          </c:extLst>
        </c:ser>
        <c:ser>
          <c:idx val="16"/>
          <c:order val="16"/>
          <c:tx>
            <c:strRef>
              <c:f>'BN_2024_Disease prevalence'!$R$79</c:f>
              <c:strCache>
                <c:ptCount val="1"/>
                <c:pt idx="0">
                  <c:v>BN17W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prevalence'!$R$80:$R$90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0-17C7-D143-9CD6-306A743E73F1}"/>
            </c:ext>
          </c:extLst>
        </c:ser>
        <c:ser>
          <c:idx val="17"/>
          <c:order val="17"/>
          <c:tx>
            <c:strRef>
              <c:f>'BN_2024_Disease prevalence'!$S$79</c:f>
              <c:strCache>
                <c:ptCount val="1"/>
                <c:pt idx="0">
                  <c:v>BN18W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prevalence'!$S$80:$S$90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1-17C7-D143-9CD6-306A743E73F1}"/>
            </c:ext>
          </c:extLst>
        </c:ser>
        <c:ser>
          <c:idx val="18"/>
          <c:order val="18"/>
          <c:tx>
            <c:strRef>
              <c:f>'BN_2024_Disease prevalence'!$T$79</c:f>
              <c:strCache>
                <c:ptCount val="1"/>
                <c:pt idx="0">
                  <c:v>BN19W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prevalence'!$T$80:$T$90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2-17C7-D143-9CD6-306A743E73F1}"/>
            </c:ext>
          </c:extLst>
        </c:ser>
        <c:ser>
          <c:idx val="19"/>
          <c:order val="19"/>
          <c:tx>
            <c:strRef>
              <c:f>'BN_2024_Disease prevalence'!$U$79</c:f>
              <c:strCache>
                <c:ptCount val="1"/>
                <c:pt idx="0">
                  <c:v>BN20W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'BN_2024_Disease prevalence'!$A$80:$A$90</c:f>
              <c:strCache>
                <c:ptCount val="11"/>
                <c:pt idx="0">
                  <c:v>% of men and women aged 35-74 yo with high blood pressure (prevalence)</c:v>
                </c:pt>
                <c:pt idx="1">
                  <c:v>% of men and women aged 35-74 yo under treatment for hypertension</c:v>
                </c:pt>
                <c:pt idx="2">
                  <c:v>% of men and women aged 35-74 yo under treatment for high blood pressure</c:v>
                </c:pt>
                <c:pt idx="3">
                  <c:v>% of men and women aged 35-74 yo affected from obesity</c:v>
                </c:pt>
                <c:pt idx="4">
                  <c:v>% of men and women aged 35-74 yo with high total cholesterolemia (≥190 mg/dl)</c:v>
                </c:pt>
                <c:pt idx="5">
                  <c:v>% of men and women aged 35-74 yo under treatment for hypercholesterolemia</c:v>
                </c:pt>
                <c:pt idx="6">
                  <c:v>% of men and women aged 35-74 yo with high total cholesterolemia (≥240 mg/dl)</c:v>
                </c:pt>
                <c:pt idx="7">
                  <c:v>% of men and women aged 35-74 yo with high blood sugar/diabetes </c:v>
                </c:pt>
                <c:pt idx="8">
                  <c:v>% of men and women aged 35-74 yo under treatment for diabetes</c:v>
                </c:pt>
                <c:pt idx="9">
                  <c:v>% of men and women aged 35-74 yo not engaging in physical activity</c:v>
                </c:pt>
                <c:pt idx="10">
                  <c:v>% of men and women aged 35-74 yo affected from CVD</c:v>
                </c:pt>
              </c:strCache>
            </c:strRef>
          </c:cat>
          <c:val>
            <c:numRef>
              <c:f>'BN_2024_Disease prevalence'!$U$80:$U$90</c:f>
              <c:numCache>
                <c:formatCode>0.0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3-17C7-D143-9CD6-306A743E7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3828847"/>
        <c:axId val="1353077423"/>
        <c:axId val="1323687231"/>
      </c:bar3DChart>
      <c:catAx>
        <c:axId val="132382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3077423"/>
        <c:crosses val="autoZero"/>
        <c:auto val="1"/>
        <c:lblAlgn val="ctr"/>
        <c:lblOffset val="100"/>
        <c:noMultiLvlLbl val="0"/>
      </c:catAx>
      <c:valAx>
        <c:axId val="13530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3828847"/>
        <c:crosses val="autoZero"/>
        <c:crossBetween val="between"/>
      </c:valAx>
      <c:serAx>
        <c:axId val="132368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307742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16932</xdr:colOff>
      <xdr:row>92</xdr:row>
      <xdr:rowOff>16932</xdr:rowOff>
    </xdr:from>
    <xdr:to>
      <xdr:col>22</xdr:col>
      <xdr:colOff>812799</xdr:colOff>
      <xdr:row>148</xdr:row>
      <xdr:rowOff>203199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E9251C0-E334-F149-84AE-11A21C1EF47C}"/>
            </a:ext>
            <a:ext uri="{147F2762-F138-4A5C-976F-8EAC2B608ADB}">
              <a16:predDERef xmlns:a16="http://schemas.microsoft.com/office/drawing/2014/main" pred="{8D52E01B-609F-BD88-83F6-72F67D5A8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49DD6-056E-E549-A047-2F0D62E276A7}" name="filtered_dataset3423" displayName="filtered_dataset3423" ref="A1:S2" totalsRowShown="0" headerRowDxfId="37" dataDxfId="36">
  <tableColumns count="19">
    <tableColumn id="2" xr3:uid="{E785F718-750B-7F4C-A940-18B6C08AE3D9}" name="Colonna1" dataDxfId="35"/>
    <tableColumn id="3" xr3:uid="{67C25394-600C-BD4D-B2DF-128C072102D8}" name="BN1" dataDxfId="34" dataCellStyle="Normale 2"/>
    <tableColumn id="4" xr3:uid="{8F121421-8207-B640-A2DF-2152A7F5792F}" name="BN2" dataDxfId="33" dataCellStyle="Normale 2"/>
    <tableColumn id="5" xr3:uid="{FC29E100-ED34-D543-A112-469C7AA3196E}" name="BN3" dataDxfId="32" dataCellStyle="Normale 2"/>
    <tableColumn id="6" xr3:uid="{35251F84-836F-5545-AF20-CD4BDEBA3A8C}" name="BN4+BN13" dataDxfId="31" dataCellStyle="Normale 2"/>
    <tableColumn id="7" xr3:uid="{0E2581ED-5EC2-B344-B50E-3BAC2FC46BFF}" name="BN5" dataDxfId="30" dataCellStyle="Normale 2"/>
    <tableColumn id="8" xr3:uid="{0691BD33-1714-594D-BF6D-F601D40AF88F}" name="BN6" dataDxfId="29" dataCellStyle="Normale 2"/>
    <tableColumn id="9" xr3:uid="{997BB5E6-58A9-E64C-8F5A-858CCA787EBA}" name="BN7" dataDxfId="28" dataCellStyle="Normale 2"/>
    <tableColumn id="10" xr3:uid="{BA976491-A323-8149-BB30-2389869B43C2}" name="BN8" dataDxfId="27" dataCellStyle="Normale 2"/>
    <tableColumn id="11" xr3:uid="{B6F191CB-1511-7A43-B9ED-CA9AE69C962C}" name="BN9" dataDxfId="26" dataCellStyle="Normale 2"/>
    <tableColumn id="12" xr3:uid="{8529D515-5DED-9045-BBA5-8C97A315EF1F}" name="BN10" dataDxfId="25" dataCellStyle="Normale 2"/>
    <tableColumn id="13" xr3:uid="{66ED7FB9-E93D-A549-BC6C-9B23DE9FB4F3}" name="BN11" dataDxfId="24" dataCellStyle="Normale 2"/>
    <tableColumn id="14" xr3:uid="{E13F466E-403D-B643-A13B-A9E3F9059BEC}" name="BN12" dataDxfId="23" dataCellStyle="Normale 2"/>
    <tableColumn id="16" xr3:uid="{B17D3634-CC60-1B4D-A4FC-C9A217637ACC}" name="BN14" dataDxfId="22" dataCellStyle="Normale 2"/>
    <tableColumn id="17" xr3:uid="{7A993824-F979-3047-8684-63805BBACB9C}" name="BN15+BN16" dataDxfId="21" dataCellStyle="Normale 2"/>
    <tableColumn id="19" xr3:uid="{8CFEB265-412B-1041-858A-B4DA316F1C0E}" name="BN17" dataDxfId="20" dataCellStyle="Normale 2"/>
    <tableColumn id="20" xr3:uid="{22D85DC7-6E9A-CE4E-B7D4-1C0C3D57F5D1}" name="BN18" dataDxfId="19" dataCellStyle="Normale 2"/>
    <tableColumn id="21" xr3:uid="{24656BD6-6D25-3C4E-AB8D-1DB7589E7B97}" name="BN19" dataDxfId="18" dataCellStyle="Normale 2"/>
    <tableColumn id="22" xr3:uid="{4ACC59A5-CF52-694B-81DC-44DECA00FE46}" name="BN20" dataDxfId="17" dataCellStyle="Normal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DEA0-8796-F74B-B1B2-985E15B7C23E}">
  <dimension ref="A1:B21"/>
  <sheetViews>
    <sheetView zoomScale="120" zoomScaleNormal="120" workbookViewId="0">
      <selection activeCell="C32" sqref="C32"/>
    </sheetView>
  </sheetViews>
  <sheetFormatPr defaultColWidth="10.86328125" defaultRowHeight="15.75"/>
  <cols>
    <col min="1" max="1" width="14" style="36" bestFit="1" customWidth="1"/>
    <col min="2" max="2" width="16.3984375" style="36" bestFit="1" customWidth="1"/>
    <col min="3" max="16384" width="10.86328125" style="36"/>
  </cols>
  <sheetData>
    <row r="1" spans="1:2">
      <c r="A1" s="35" t="s">
        <v>0</v>
      </c>
      <c r="B1" s="35" t="s">
        <v>1</v>
      </c>
    </row>
    <row r="2" spans="1:2">
      <c r="A2" s="37" t="s">
        <v>2</v>
      </c>
      <c r="B2" s="37" t="s">
        <v>3</v>
      </c>
    </row>
    <row r="3" spans="1:2">
      <c r="A3" s="37" t="s">
        <v>4</v>
      </c>
      <c r="B3" s="37" t="s">
        <v>5</v>
      </c>
    </row>
    <row r="4" spans="1:2">
      <c r="A4" s="37" t="s">
        <v>6</v>
      </c>
      <c r="B4" s="37" t="s">
        <v>7</v>
      </c>
    </row>
    <row r="5" spans="1:2">
      <c r="A5" s="37" t="s">
        <v>8</v>
      </c>
      <c r="B5" s="38" t="s">
        <v>9</v>
      </c>
    </row>
    <row r="6" spans="1:2">
      <c r="A6" s="37" t="s">
        <v>10</v>
      </c>
      <c r="B6" s="38" t="s">
        <v>9</v>
      </c>
    </row>
    <row r="7" spans="1:2">
      <c r="A7" s="37" t="s">
        <v>11</v>
      </c>
      <c r="B7" s="37" t="s">
        <v>12</v>
      </c>
    </row>
    <row r="8" spans="1:2">
      <c r="A8" s="37" t="s">
        <v>13</v>
      </c>
      <c r="B8" s="37" t="s">
        <v>14</v>
      </c>
    </row>
    <row r="9" spans="1:2">
      <c r="A9" s="37" t="s">
        <v>15</v>
      </c>
      <c r="B9" s="37" t="s">
        <v>16</v>
      </c>
    </row>
    <row r="10" spans="1:2">
      <c r="A10" s="37" t="s">
        <v>17</v>
      </c>
      <c r="B10" s="37" t="s">
        <v>18</v>
      </c>
    </row>
    <row r="11" spans="1:2">
      <c r="A11" s="37" t="s">
        <v>19</v>
      </c>
      <c r="B11" s="37" t="s">
        <v>20</v>
      </c>
    </row>
    <row r="12" spans="1:2">
      <c r="A12" s="37" t="s">
        <v>21</v>
      </c>
      <c r="B12" s="37" t="s">
        <v>22</v>
      </c>
    </row>
    <row r="13" spans="1:2">
      <c r="A13" s="37" t="s">
        <v>23</v>
      </c>
      <c r="B13" s="37" t="s">
        <v>24</v>
      </c>
    </row>
    <row r="14" spans="1:2">
      <c r="A14" s="37" t="s">
        <v>25</v>
      </c>
      <c r="B14" s="37" t="s">
        <v>26</v>
      </c>
    </row>
    <row r="15" spans="1:2">
      <c r="A15" s="37" t="s">
        <v>27</v>
      </c>
      <c r="B15" s="37" t="s">
        <v>28</v>
      </c>
    </row>
    <row r="16" spans="1:2">
      <c r="A16" s="37" t="s">
        <v>29</v>
      </c>
      <c r="B16" s="39" t="s">
        <v>30</v>
      </c>
    </row>
    <row r="17" spans="1:2">
      <c r="A17" s="37" t="s">
        <v>31</v>
      </c>
      <c r="B17" s="39" t="s">
        <v>30</v>
      </c>
    </row>
    <row r="18" spans="1:2">
      <c r="A18" s="37" t="s">
        <v>32</v>
      </c>
      <c r="B18" s="37" t="s">
        <v>26</v>
      </c>
    </row>
    <row r="19" spans="1:2">
      <c r="A19" s="37" t="s">
        <v>33</v>
      </c>
      <c r="B19" s="37" t="s">
        <v>34</v>
      </c>
    </row>
    <row r="20" spans="1:2">
      <c r="A20" s="37" t="s">
        <v>35</v>
      </c>
      <c r="B20" s="37" t="s">
        <v>24</v>
      </c>
    </row>
    <row r="21" spans="1:2">
      <c r="A21" s="37" t="s">
        <v>36</v>
      </c>
      <c r="B21" s="3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F7EC-1543-BA40-9235-59CE5C807381}">
  <dimension ref="A1:U23"/>
  <sheetViews>
    <sheetView zoomScale="110" zoomScaleNormal="110" workbookViewId="0">
      <selection activeCell="B4" sqref="B4"/>
    </sheetView>
  </sheetViews>
  <sheetFormatPr defaultColWidth="8.86328125" defaultRowHeight="15.75"/>
  <cols>
    <col min="1" max="1" width="48.3984375" style="36" customWidth="1"/>
    <col min="2" max="2" width="10.3984375" style="47" bestFit="1" customWidth="1"/>
    <col min="3" max="9" width="6.86328125" style="47" customWidth="1"/>
    <col min="10" max="10" width="10.3984375" style="47" bestFit="1" customWidth="1"/>
    <col min="11" max="11" width="6.86328125" style="47" customWidth="1"/>
    <col min="12" max="12" width="10.3984375" style="47" bestFit="1" customWidth="1"/>
    <col min="13" max="14" width="6.86328125" style="47" customWidth="1"/>
    <col min="15" max="15" width="10.3984375" style="47" bestFit="1" customWidth="1"/>
    <col min="16" max="18" width="6.86328125" style="47" customWidth="1"/>
    <col min="19" max="19" width="10.3984375" style="47" bestFit="1" customWidth="1"/>
    <col min="20" max="20" width="6.86328125" style="36" customWidth="1"/>
    <col min="21" max="16384" width="8.86328125" style="36"/>
  </cols>
  <sheetData>
    <row r="1" spans="1:21" ht="83.1" customHeight="1">
      <c r="A1" s="36" t="s">
        <v>38</v>
      </c>
      <c r="B1" s="40" t="s">
        <v>2</v>
      </c>
      <c r="C1" s="40" t="s">
        <v>4</v>
      </c>
      <c r="D1" s="40" t="s">
        <v>6</v>
      </c>
      <c r="E1" s="41" t="s">
        <v>39</v>
      </c>
      <c r="F1" s="40" t="s">
        <v>11</v>
      </c>
      <c r="G1" s="40" t="s">
        <v>13</v>
      </c>
      <c r="H1" s="40" t="s">
        <v>15</v>
      </c>
      <c r="I1" s="40" t="s">
        <v>17</v>
      </c>
      <c r="J1" s="40" t="s">
        <v>19</v>
      </c>
      <c r="K1" s="40" t="s">
        <v>21</v>
      </c>
      <c r="L1" s="40" t="s">
        <v>23</v>
      </c>
      <c r="M1" s="40" t="s">
        <v>25</v>
      </c>
      <c r="N1" s="40" t="s">
        <v>27</v>
      </c>
      <c r="O1" s="42" t="s">
        <v>40</v>
      </c>
      <c r="P1" s="40" t="s">
        <v>32</v>
      </c>
      <c r="Q1" s="40" t="s">
        <v>33</v>
      </c>
      <c r="R1" s="40" t="s">
        <v>35</v>
      </c>
      <c r="S1" s="40" t="s">
        <v>36</v>
      </c>
    </row>
    <row r="2" spans="1:21" ht="84.75">
      <c r="A2" s="43" t="s">
        <v>41</v>
      </c>
      <c r="B2" s="44" t="s">
        <v>3</v>
      </c>
      <c r="C2" s="44" t="s">
        <v>5</v>
      </c>
      <c r="D2" s="44" t="s">
        <v>7</v>
      </c>
      <c r="E2" s="45" t="s">
        <v>9</v>
      </c>
      <c r="F2" s="44" t="s">
        <v>12</v>
      </c>
      <c r="G2" s="44" t="s">
        <v>14</v>
      </c>
      <c r="H2" s="44" t="s">
        <v>16</v>
      </c>
      <c r="I2" s="44" t="s">
        <v>18</v>
      </c>
      <c r="J2" s="44" t="s">
        <v>20</v>
      </c>
      <c r="K2" s="44" t="s">
        <v>22</v>
      </c>
      <c r="L2" s="44" t="s">
        <v>24</v>
      </c>
      <c r="M2" s="44" t="s">
        <v>26</v>
      </c>
      <c r="N2" s="44" t="s">
        <v>28</v>
      </c>
      <c r="O2" s="46" t="s">
        <v>30</v>
      </c>
      <c r="P2" s="44" t="s">
        <v>26</v>
      </c>
      <c r="Q2" s="44" t="s">
        <v>34</v>
      </c>
      <c r="R2" s="44" t="s">
        <v>24</v>
      </c>
      <c r="S2" s="44" t="s">
        <v>37</v>
      </c>
      <c r="U2" s="47"/>
    </row>
    <row r="3" spans="1:21">
      <c r="A3" s="48" t="s">
        <v>42</v>
      </c>
      <c r="B3" s="49">
        <v>0</v>
      </c>
      <c r="C3" s="49">
        <v>0</v>
      </c>
      <c r="D3" s="49">
        <v>0</v>
      </c>
      <c r="E3" s="49">
        <v>0</v>
      </c>
      <c r="F3" s="49">
        <v>0</v>
      </c>
      <c r="G3" s="49">
        <v>19.766752322593398</v>
      </c>
      <c r="H3" s="49">
        <v>0</v>
      </c>
      <c r="I3" s="49">
        <v>0</v>
      </c>
      <c r="J3" s="49">
        <v>0</v>
      </c>
      <c r="K3" s="49">
        <v>0</v>
      </c>
      <c r="L3" s="49">
        <v>0</v>
      </c>
      <c r="M3" s="49">
        <v>0</v>
      </c>
      <c r="N3" s="49">
        <v>0</v>
      </c>
      <c r="O3" s="49">
        <v>0</v>
      </c>
      <c r="P3" s="49">
        <v>0</v>
      </c>
      <c r="Q3" s="49">
        <v>0</v>
      </c>
      <c r="R3" s="49">
        <v>0</v>
      </c>
      <c r="S3" s="49">
        <v>0</v>
      </c>
    </row>
    <row r="4" spans="1:21">
      <c r="A4" s="48" t="s">
        <v>43</v>
      </c>
      <c r="B4" s="49">
        <v>19.817677368212447</v>
      </c>
      <c r="C4" s="49">
        <v>0</v>
      </c>
      <c r="D4" s="49">
        <v>19.900497512437809</v>
      </c>
      <c r="E4" s="49">
        <v>0</v>
      </c>
      <c r="F4" s="49">
        <v>0</v>
      </c>
      <c r="G4" s="49">
        <v>0</v>
      </c>
      <c r="H4" s="49">
        <v>0</v>
      </c>
      <c r="I4" s="49">
        <v>0</v>
      </c>
      <c r="J4" s="49">
        <v>0</v>
      </c>
      <c r="K4" s="49">
        <v>0</v>
      </c>
      <c r="L4" s="49">
        <v>0</v>
      </c>
      <c r="M4" s="49">
        <v>0</v>
      </c>
      <c r="N4" s="49">
        <v>0</v>
      </c>
      <c r="O4" s="49">
        <v>0</v>
      </c>
      <c r="P4" s="49">
        <v>0</v>
      </c>
      <c r="Q4" s="49">
        <v>0</v>
      </c>
      <c r="R4" s="49">
        <v>0</v>
      </c>
      <c r="S4" s="49">
        <v>0</v>
      </c>
    </row>
    <row r="5" spans="1:21">
      <c r="A5" s="48" t="s">
        <v>44</v>
      </c>
      <c r="B5" s="49">
        <v>0</v>
      </c>
      <c r="C5" s="49">
        <v>0</v>
      </c>
      <c r="D5" s="49">
        <v>0</v>
      </c>
      <c r="E5" s="49">
        <v>0</v>
      </c>
      <c r="F5" s="49">
        <v>0</v>
      </c>
      <c r="G5" s="49">
        <v>0</v>
      </c>
      <c r="H5" s="49">
        <v>0</v>
      </c>
      <c r="I5" s="49">
        <v>0</v>
      </c>
      <c r="J5" s="49">
        <v>1056.338028169014</v>
      </c>
      <c r="K5" s="49">
        <v>0</v>
      </c>
      <c r="L5" s="49">
        <v>1282.051282051282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49">
        <v>0</v>
      </c>
    </row>
    <row r="6" spans="1:21">
      <c r="A6" s="48" t="s">
        <v>45</v>
      </c>
      <c r="B6" s="49">
        <v>0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v>0</v>
      </c>
      <c r="M6" s="49">
        <v>0</v>
      </c>
      <c r="N6" s="49">
        <v>0</v>
      </c>
      <c r="O6" s="49">
        <v>706.71378091872793</v>
      </c>
      <c r="P6" s="49">
        <v>0</v>
      </c>
      <c r="Q6" s="49">
        <v>0</v>
      </c>
      <c r="R6" s="49">
        <v>0</v>
      </c>
      <c r="S6" s="49">
        <v>0</v>
      </c>
    </row>
    <row r="7" spans="1:21">
      <c r="A7" s="48" t="s">
        <v>46</v>
      </c>
      <c r="B7" s="49">
        <v>99.088386841062231</v>
      </c>
      <c r="C7" s="49">
        <v>119.76047904191617</v>
      </c>
      <c r="D7" s="49">
        <v>99.50248756218906</v>
      </c>
      <c r="E7" s="49">
        <v>0</v>
      </c>
      <c r="F7" s="49">
        <v>0</v>
      </c>
      <c r="G7" s="49">
        <v>177.90077090334057</v>
      </c>
      <c r="H7" s="49">
        <v>0</v>
      </c>
      <c r="I7" s="49">
        <v>0</v>
      </c>
      <c r="J7" s="49">
        <v>0</v>
      </c>
      <c r="K7" s="49">
        <v>140.16820184221066</v>
      </c>
      <c r="L7" s="49">
        <v>0</v>
      </c>
      <c r="M7" s="49">
        <v>0</v>
      </c>
      <c r="N7" s="49">
        <v>0</v>
      </c>
      <c r="O7" s="49">
        <v>0</v>
      </c>
      <c r="P7" s="49">
        <v>0</v>
      </c>
      <c r="Q7" s="49">
        <v>0</v>
      </c>
      <c r="R7" s="49">
        <v>0</v>
      </c>
      <c r="S7" s="49">
        <v>0</v>
      </c>
    </row>
    <row r="8" spans="1:21">
      <c r="A8" s="48" t="s">
        <v>47</v>
      </c>
      <c r="B8" s="49">
        <v>59.453032104637337</v>
      </c>
      <c r="C8" s="49">
        <v>19.960079840319363</v>
      </c>
      <c r="D8" s="49">
        <v>19.900497512437809</v>
      </c>
      <c r="E8" s="49">
        <v>0</v>
      </c>
      <c r="F8" s="49">
        <v>0</v>
      </c>
      <c r="G8" s="49">
        <v>19.766752322593398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  <c r="Q8" s="49">
        <v>0</v>
      </c>
      <c r="R8" s="49">
        <v>0</v>
      </c>
      <c r="S8" s="49">
        <v>0</v>
      </c>
    </row>
    <row r="9" spans="1:21">
      <c r="A9" s="50" t="s">
        <v>48</v>
      </c>
      <c r="B9" s="49">
        <v>257.62980578676178</v>
      </c>
      <c r="C9" s="49">
        <v>638.72255489021961</v>
      </c>
      <c r="D9" s="49">
        <v>298.50746268656718</v>
      </c>
      <c r="E9" s="49">
        <v>0</v>
      </c>
      <c r="F9" s="49">
        <v>0</v>
      </c>
      <c r="G9" s="49">
        <v>158.13401858074718</v>
      </c>
      <c r="H9" s="49">
        <v>0</v>
      </c>
      <c r="I9" s="49">
        <v>0</v>
      </c>
      <c r="J9" s="49">
        <v>0</v>
      </c>
      <c r="K9" s="49">
        <v>240.28834601521825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</row>
    <row r="10" spans="1:21">
      <c r="A10" s="50" t="s">
        <v>49</v>
      </c>
      <c r="B10" s="49">
        <v>217.99445105033689</v>
      </c>
      <c r="C10" s="49">
        <v>299.40119760479041</v>
      </c>
      <c r="D10" s="49">
        <v>159.20398009950247</v>
      </c>
      <c r="E10" s="49">
        <v>0</v>
      </c>
      <c r="F10" s="49">
        <v>0</v>
      </c>
      <c r="G10" s="49">
        <v>375.56829412927453</v>
      </c>
      <c r="H10" s="49">
        <v>0</v>
      </c>
      <c r="I10" s="49">
        <v>0</v>
      </c>
      <c r="J10" s="49">
        <v>0</v>
      </c>
      <c r="K10" s="49">
        <v>300.36043251902282</v>
      </c>
      <c r="L10" s="49">
        <v>0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</row>
    <row r="11" spans="1:21">
      <c r="A11" s="50" t="s">
        <v>50</v>
      </c>
      <c r="B11" s="49">
        <v>0</v>
      </c>
      <c r="C11" s="49">
        <v>239.52095808383234</v>
      </c>
      <c r="D11" s="49">
        <v>398.00995024875624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49">
        <v>0</v>
      </c>
      <c r="O11" s="49">
        <v>9540.6360424028262</v>
      </c>
      <c r="P11" s="49">
        <v>0</v>
      </c>
      <c r="Q11" s="49">
        <v>0</v>
      </c>
      <c r="R11" s="49">
        <v>0</v>
      </c>
      <c r="S11" s="49">
        <v>0</v>
      </c>
    </row>
    <row r="12" spans="1:21">
      <c r="A12" s="48" t="s">
        <v>51</v>
      </c>
      <c r="B12" s="49">
        <v>0</v>
      </c>
      <c r="C12" s="49">
        <v>0</v>
      </c>
      <c r="D12" s="49">
        <v>0</v>
      </c>
      <c r="E12" s="49">
        <v>0</v>
      </c>
      <c r="F12" s="49">
        <v>49.212598425196852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353.35689045936397</v>
      </c>
      <c r="P12" s="49">
        <v>0</v>
      </c>
      <c r="Q12" s="49">
        <v>0</v>
      </c>
      <c r="R12" s="49">
        <v>0</v>
      </c>
      <c r="S12" s="49">
        <v>647.24919093851133</v>
      </c>
    </row>
    <row r="13" spans="1:21">
      <c r="A13" s="50" t="s">
        <v>52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10954.063604240282</v>
      </c>
      <c r="P13" s="49">
        <v>0</v>
      </c>
      <c r="Q13" s="49">
        <v>0</v>
      </c>
      <c r="R13" s="49">
        <v>0</v>
      </c>
      <c r="S13" s="49">
        <v>0</v>
      </c>
    </row>
    <row r="14" spans="1:21">
      <c r="A14" s="50" t="s">
        <v>53</v>
      </c>
      <c r="B14" s="49">
        <v>0</v>
      </c>
      <c r="C14" s="49">
        <v>0</v>
      </c>
      <c r="D14" s="49">
        <v>0</v>
      </c>
      <c r="E14" s="49">
        <v>0</v>
      </c>
      <c r="F14" s="49">
        <v>295.2755905511811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1060.0706713780919</v>
      </c>
      <c r="P14" s="49">
        <v>0</v>
      </c>
      <c r="Q14" s="49">
        <v>0</v>
      </c>
      <c r="R14" s="49">
        <v>0</v>
      </c>
      <c r="S14" s="49">
        <v>1618.1229773462783</v>
      </c>
    </row>
    <row r="15" spans="1:21">
      <c r="A15" s="50" t="s">
        <v>54</v>
      </c>
      <c r="B15" s="49">
        <v>0</v>
      </c>
      <c r="C15" s="49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v>320.5128205128205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</row>
    <row r="16" spans="1:21">
      <c r="A16" s="48" t="s">
        <v>55</v>
      </c>
      <c r="B16" s="49">
        <v>0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353.35689045936397</v>
      </c>
      <c r="P16" s="49">
        <v>0</v>
      </c>
      <c r="Q16" s="49">
        <v>0</v>
      </c>
      <c r="R16" s="49">
        <v>0</v>
      </c>
      <c r="S16" s="49">
        <v>0</v>
      </c>
    </row>
    <row r="18" spans="1:21">
      <c r="A18" s="37" t="s">
        <v>56</v>
      </c>
      <c r="B18" s="51">
        <v>5046</v>
      </c>
      <c r="C18" s="51">
        <v>5010</v>
      </c>
      <c r="D18" s="51">
        <v>5025</v>
      </c>
      <c r="E18" s="51">
        <v>287</v>
      </c>
      <c r="F18" s="51">
        <v>2032</v>
      </c>
      <c r="G18" s="51">
        <v>5059</v>
      </c>
      <c r="H18" s="51">
        <v>302</v>
      </c>
      <c r="I18" s="51">
        <v>307</v>
      </c>
      <c r="J18" s="51">
        <v>284</v>
      </c>
      <c r="K18" s="51">
        <v>4994</v>
      </c>
      <c r="L18" s="51">
        <v>312</v>
      </c>
      <c r="M18" s="51">
        <v>299</v>
      </c>
      <c r="N18" s="51">
        <v>2087</v>
      </c>
      <c r="O18" s="51">
        <v>283</v>
      </c>
      <c r="P18" s="51">
        <v>312</v>
      </c>
      <c r="Q18" s="51">
        <v>292</v>
      </c>
      <c r="R18" s="51">
        <v>307</v>
      </c>
      <c r="S18" s="51">
        <v>309</v>
      </c>
      <c r="U18" s="47">
        <f>SUM(B18:S18)</f>
        <v>32547</v>
      </c>
    </row>
    <row r="23" spans="1:21">
      <c r="A23" s="52" t="s">
        <v>57</v>
      </c>
    </row>
  </sheetData>
  <conditionalFormatting sqref="U2">
    <cfRule type="cellIs" dxfId="16" priority="1" operator="equal">
      <formula>#REF!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525B-8BE6-5E4E-9709-34D960252168}">
  <dimension ref="A2:AM9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9" sqref="A19"/>
    </sheetView>
  </sheetViews>
  <sheetFormatPr defaultColWidth="10.86328125" defaultRowHeight="15.75"/>
  <cols>
    <col min="1" max="1" width="51" style="36" customWidth="1"/>
    <col min="2" max="2" width="10.86328125" style="47"/>
    <col min="3" max="3" width="13.3984375" style="47" customWidth="1"/>
    <col min="4" max="16384" width="10.86328125" style="36"/>
  </cols>
  <sheetData>
    <row r="2" spans="1:39" ht="112.15">
      <c r="B2" s="152" t="s">
        <v>58</v>
      </c>
      <c r="C2" s="152" t="s">
        <v>59</v>
      </c>
      <c r="D2" s="54" t="s">
        <v>60</v>
      </c>
      <c r="E2" s="54" t="s">
        <v>61</v>
      </c>
      <c r="F2" s="54" t="s">
        <v>62</v>
      </c>
      <c r="G2" s="54" t="s">
        <v>63</v>
      </c>
      <c r="H2" s="54" t="s">
        <v>64</v>
      </c>
      <c r="I2" s="54" t="s">
        <v>65</v>
      </c>
      <c r="J2" s="55" t="s">
        <v>66</v>
      </c>
      <c r="K2" s="55" t="s">
        <v>67</v>
      </c>
      <c r="L2" s="54" t="s">
        <v>68</v>
      </c>
      <c r="M2" s="54" t="s">
        <v>69</v>
      </c>
      <c r="N2" s="54" t="s">
        <v>70</v>
      </c>
      <c r="O2" s="54" t="s">
        <v>71</v>
      </c>
      <c r="P2" s="54" t="s">
        <v>72</v>
      </c>
      <c r="Q2" s="54" t="s">
        <v>73</v>
      </c>
      <c r="R2" s="54" t="s">
        <v>74</v>
      </c>
      <c r="S2" s="54" t="s">
        <v>75</v>
      </c>
      <c r="T2" s="54" t="s">
        <v>76</v>
      </c>
      <c r="U2" s="54" t="s">
        <v>77</v>
      </c>
      <c r="V2" s="54" t="s">
        <v>78</v>
      </c>
      <c r="W2" s="54" t="s">
        <v>79</v>
      </c>
      <c r="X2" s="54" t="s">
        <v>80</v>
      </c>
      <c r="Y2" s="54" t="s">
        <v>81</v>
      </c>
      <c r="Z2" s="54" t="s">
        <v>82</v>
      </c>
      <c r="AA2" s="54" t="s">
        <v>83</v>
      </c>
      <c r="AB2" s="54" t="s">
        <v>84</v>
      </c>
      <c r="AC2" s="54" t="s">
        <v>85</v>
      </c>
      <c r="AD2" s="56" t="s">
        <v>86</v>
      </c>
      <c r="AE2" s="56" t="s">
        <v>87</v>
      </c>
      <c r="AF2" s="54" t="s">
        <v>88</v>
      </c>
      <c r="AG2" s="54" t="s">
        <v>89</v>
      </c>
      <c r="AH2" s="54" t="s">
        <v>90</v>
      </c>
      <c r="AI2" s="54" t="s">
        <v>91</v>
      </c>
      <c r="AJ2" s="54" t="s">
        <v>92</v>
      </c>
      <c r="AK2" s="54" t="s">
        <v>93</v>
      </c>
      <c r="AL2" s="54" t="s">
        <v>94</v>
      </c>
      <c r="AM2" s="54" t="s">
        <v>95</v>
      </c>
    </row>
    <row r="3" spans="1:39" ht="99.95" customHeight="1">
      <c r="A3" s="53" t="s">
        <v>96</v>
      </c>
      <c r="B3" s="153"/>
      <c r="C3" s="153"/>
      <c r="D3" s="148" t="s">
        <v>3</v>
      </c>
      <c r="E3" s="149"/>
      <c r="F3" s="148" t="s">
        <v>5</v>
      </c>
      <c r="G3" s="149"/>
      <c r="H3" s="148" t="s">
        <v>7</v>
      </c>
      <c r="I3" s="149"/>
      <c r="J3" s="154" t="s">
        <v>9</v>
      </c>
      <c r="K3" s="155"/>
      <c r="L3" s="148" t="s">
        <v>12</v>
      </c>
      <c r="M3" s="149"/>
      <c r="N3" s="148" t="s">
        <v>14</v>
      </c>
      <c r="O3" s="149"/>
      <c r="P3" s="148" t="s">
        <v>16</v>
      </c>
      <c r="Q3" s="149"/>
      <c r="R3" s="148" t="s">
        <v>18</v>
      </c>
      <c r="S3" s="149"/>
      <c r="T3" s="156" t="s">
        <v>20</v>
      </c>
      <c r="U3" s="157"/>
      <c r="V3" s="148" t="s">
        <v>22</v>
      </c>
      <c r="W3" s="149"/>
      <c r="X3" s="148" t="s">
        <v>24</v>
      </c>
      <c r="Y3" s="149"/>
      <c r="Z3" s="148" t="s">
        <v>26</v>
      </c>
      <c r="AA3" s="149"/>
      <c r="AB3" s="148" t="s">
        <v>28</v>
      </c>
      <c r="AC3" s="149"/>
      <c r="AD3" s="150" t="s">
        <v>30</v>
      </c>
      <c r="AE3" s="151"/>
      <c r="AF3" s="148" t="s">
        <v>26</v>
      </c>
      <c r="AG3" s="149"/>
      <c r="AH3" s="148" t="s">
        <v>34</v>
      </c>
      <c r="AI3" s="149"/>
      <c r="AJ3" s="148" t="s">
        <v>24</v>
      </c>
      <c r="AK3" s="149"/>
      <c r="AL3" s="148" t="s">
        <v>37</v>
      </c>
      <c r="AM3" s="149"/>
    </row>
    <row r="4" spans="1:39" ht="31.5">
      <c r="A4" s="57" t="s">
        <v>97</v>
      </c>
      <c r="B4" s="49">
        <f t="shared" ref="B4:B14" si="0">AVERAGE(D4,F4,H4,L4,N4,P4,R4,T4,V4,X4,Z4,AB4,AD4,AF4,AH4,AJ4,AL4)</f>
        <v>38</v>
      </c>
      <c r="C4" s="49">
        <f t="shared" ref="C4:C14" si="1">AVERAGE(E4,G4,I4,K4,M4,O4,Q4,S4,U4,W4,Y4,AA4,AC4,AE4,AG4,AI4,AK4,AM4)</f>
        <v>26</v>
      </c>
      <c r="D4" s="49">
        <v>39</v>
      </c>
      <c r="E4" s="49">
        <v>20</v>
      </c>
      <c r="F4" s="49">
        <v>38</v>
      </c>
      <c r="G4" s="49">
        <v>22</v>
      </c>
      <c r="H4" s="49">
        <v>31</v>
      </c>
      <c r="I4" s="49">
        <v>33</v>
      </c>
      <c r="J4" s="49"/>
      <c r="K4" s="49"/>
      <c r="L4" s="49"/>
      <c r="M4" s="49"/>
      <c r="N4" s="49">
        <v>44</v>
      </c>
      <c r="O4" s="49">
        <v>29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</row>
    <row r="5" spans="1:39" ht="31.5">
      <c r="A5" s="57" t="s">
        <v>98</v>
      </c>
      <c r="B5" s="49">
        <f t="shared" si="0"/>
        <v>39</v>
      </c>
      <c r="C5" s="49">
        <f t="shared" si="1"/>
        <v>31</v>
      </c>
      <c r="D5" s="49">
        <v>44</v>
      </c>
      <c r="E5" s="49">
        <v>23</v>
      </c>
      <c r="F5" s="49">
        <v>43</v>
      </c>
      <c r="G5" s="49">
        <v>31</v>
      </c>
      <c r="H5" s="49">
        <v>29</v>
      </c>
      <c r="I5" s="49">
        <v>38</v>
      </c>
      <c r="J5" s="49"/>
      <c r="K5" s="49"/>
      <c r="L5" s="49"/>
      <c r="M5" s="49"/>
      <c r="N5" s="49">
        <v>40</v>
      </c>
      <c r="O5" s="49">
        <v>32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</row>
    <row r="6" spans="1:39" ht="31.5">
      <c r="A6" s="57" t="s">
        <v>99</v>
      </c>
      <c r="B6" s="49">
        <f t="shared" si="0"/>
        <v>55</v>
      </c>
      <c r="C6" s="49">
        <f t="shared" si="1"/>
        <v>43</v>
      </c>
      <c r="D6" s="49">
        <v>58</v>
      </c>
      <c r="E6" s="49">
        <v>33</v>
      </c>
      <c r="F6" s="49">
        <v>53</v>
      </c>
      <c r="G6" s="49">
        <v>38</v>
      </c>
      <c r="H6" s="49">
        <v>49</v>
      </c>
      <c r="I6" s="49">
        <v>50</v>
      </c>
      <c r="J6" s="49"/>
      <c r="K6" s="49"/>
      <c r="L6" s="49"/>
      <c r="M6" s="49"/>
      <c r="N6" s="49">
        <v>60</v>
      </c>
      <c r="O6" s="49">
        <v>51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</row>
    <row r="7" spans="1:39" ht="31.5">
      <c r="A7" s="57" t="s">
        <v>100</v>
      </c>
      <c r="B7" s="49">
        <f t="shared" si="0"/>
        <v>28</v>
      </c>
      <c r="C7" s="49">
        <f t="shared" si="1"/>
        <v>27</v>
      </c>
      <c r="D7" s="49">
        <v>31</v>
      </c>
      <c r="E7" s="49">
        <v>29</v>
      </c>
      <c r="F7" s="49">
        <v>30</v>
      </c>
      <c r="G7" s="49">
        <v>23</v>
      </c>
      <c r="H7" s="49">
        <v>25</v>
      </c>
      <c r="I7" s="49">
        <v>28</v>
      </c>
      <c r="J7" s="49"/>
      <c r="K7" s="49"/>
      <c r="L7" s="49"/>
      <c r="M7" s="49"/>
      <c r="N7" s="49">
        <v>26</v>
      </c>
      <c r="O7" s="49">
        <v>28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</row>
    <row r="8" spans="1:39" ht="31.5">
      <c r="A8" s="57" t="s">
        <v>101</v>
      </c>
      <c r="B8" s="49">
        <f t="shared" si="0"/>
        <v>64</v>
      </c>
      <c r="C8" s="49">
        <f t="shared" si="1"/>
        <v>63</v>
      </c>
      <c r="D8" s="49">
        <v>72</v>
      </c>
      <c r="E8" s="49">
        <v>64</v>
      </c>
      <c r="F8" s="49">
        <v>60</v>
      </c>
      <c r="G8" s="49">
        <v>61</v>
      </c>
      <c r="H8" s="49">
        <v>63</v>
      </c>
      <c r="I8" s="49">
        <v>69</v>
      </c>
      <c r="J8" s="49"/>
      <c r="K8" s="49"/>
      <c r="L8" s="49"/>
      <c r="M8" s="49"/>
      <c r="N8" s="49">
        <v>61</v>
      </c>
      <c r="O8" s="49">
        <v>58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</row>
    <row r="9" spans="1:39" ht="31.5">
      <c r="A9" s="57" t="s">
        <v>102</v>
      </c>
      <c r="B9" s="49">
        <f t="shared" si="0"/>
        <v>11</v>
      </c>
      <c r="C9" s="49">
        <f t="shared" si="1"/>
        <v>20</v>
      </c>
      <c r="D9" s="49">
        <v>10</v>
      </c>
      <c r="E9" s="49">
        <v>18</v>
      </c>
      <c r="F9" s="49">
        <v>13</v>
      </c>
      <c r="G9" s="49">
        <v>26</v>
      </c>
      <c r="H9" s="49">
        <v>8</v>
      </c>
      <c r="I9" s="49">
        <v>20</v>
      </c>
      <c r="J9" s="49"/>
      <c r="K9" s="49"/>
      <c r="L9" s="49"/>
      <c r="M9" s="49"/>
      <c r="N9" s="49">
        <v>13</v>
      </c>
      <c r="O9" s="49">
        <v>16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</row>
    <row r="10" spans="1:39" ht="31.5">
      <c r="A10" s="57" t="s">
        <v>103</v>
      </c>
      <c r="B10" s="49">
        <f t="shared" si="0"/>
        <v>17</v>
      </c>
      <c r="C10" s="49">
        <f t="shared" si="1"/>
        <v>26</v>
      </c>
      <c r="D10" s="49">
        <v>13</v>
      </c>
      <c r="E10" s="49">
        <v>31</v>
      </c>
      <c r="F10" s="49">
        <v>17</v>
      </c>
      <c r="G10" s="49">
        <v>28</v>
      </c>
      <c r="H10" s="49">
        <v>20</v>
      </c>
      <c r="I10" s="49">
        <v>21</v>
      </c>
      <c r="J10" s="49"/>
      <c r="K10" s="49"/>
      <c r="L10" s="49"/>
      <c r="M10" s="49"/>
      <c r="N10" s="49">
        <v>18</v>
      </c>
      <c r="O10" s="49">
        <v>24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</row>
    <row r="11" spans="1:39" ht="31.5">
      <c r="A11" s="57" t="s">
        <v>104</v>
      </c>
      <c r="B11" s="49">
        <f t="shared" si="0"/>
        <v>6.875</v>
      </c>
      <c r="C11" s="49">
        <f t="shared" si="1"/>
        <v>2.4500000000000002</v>
      </c>
      <c r="D11" s="49">
        <v>7.4</v>
      </c>
      <c r="E11" s="49">
        <v>1.1000000000000001</v>
      </c>
      <c r="F11" s="49">
        <v>8.3000000000000007</v>
      </c>
      <c r="G11" s="49">
        <v>2.6</v>
      </c>
      <c r="H11" s="49">
        <v>5.9</v>
      </c>
      <c r="I11" s="49">
        <v>2.9</v>
      </c>
      <c r="J11" s="49"/>
      <c r="K11" s="49"/>
      <c r="L11" s="49"/>
      <c r="M11" s="49"/>
      <c r="N11" s="49">
        <v>5.9</v>
      </c>
      <c r="O11" s="49">
        <v>3.2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</row>
    <row r="12" spans="1:39" ht="31.5">
      <c r="A12" s="57" t="s">
        <v>105</v>
      </c>
      <c r="B12" s="49">
        <f t="shared" si="0"/>
        <v>3.0249999999999999</v>
      </c>
      <c r="C12" s="49">
        <f t="shared" si="1"/>
        <v>0.97500000000000009</v>
      </c>
      <c r="D12" s="49">
        <v>1.4</v>
      </c>
      <c r="E12" s="49">
        <v>1.2</v>
      </c>
      <c r="F12" s="49">
        <v>2.8</v>
      </c>
      <c r="G12" s="49">
        <v>0.7</v>
      </c>
      <c r="H12" s="49">
        <v>4</v>
      </c>
      <c r="I12" s="49">
        <v>0.8</v>
      </c>
      <c r="J12" s="49"/>
      <c r="K12" s="49"/>
      <c r="L12" s="49"/>
      <c r="M12" s="49"/>
      <c r="N12" s="49">
        <v>3.9</v>
      </c>
      <c r="O12" s="49">
        <v>1.2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</row>
    <row r="13" spans="1:39" ht="31.5">
      <c r="A13" s="57" t="s">
        <v>106</v>
      </c>
      <c r="B13" s="49">
        <f t="shared" si="0"/>
        <v>69</v>
      </c>
      <c r="C13" s="49">
        <f t="shared" si="1"/>
        <v>81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>
        <v>69</v>
      </c>
      <c r="W13" s="49">
        <v>81</v>
      </c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</row>
    <row r="14" spans="1:39">
      <c r="A14" s="57" t="s">
        <v>107</v>
      </c>
      <c r="B14" s="49">
        <f t="shared" si="0"/>
        <v>7.35</v>
      </c>
      <c r="C14" s="49">
        <f t="shared" si="1"/>
        <v>2.25</v>
      </c>
      <c r="D14" s="49">
        <v>8.4</v>
      </c>
      <c r="E14" s="49">
        <v>2</v>
      </c>
      <c r="F14" s="49">
        <v>6</v>
      </c>
      <c r="G14" s="49">
        <v>2.2000000000000002</v>
      </c>
      <c r="H14" s="49">
        <v>7.1</v>
      </c>
      <c r="I14" s="49">
        <v>1.5</v>
      </c>
      <c r="J14" s="49"/>
      <c r="K14" s="49"/>
      <c r="L14" s="49"/>
      <c r="M14" s="49"/>
      <c r="N14" s="49">
        <v>7.9</v>
      </c>
      <c r="O14" s="49">
        <v>3.3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</row>
    <row r="18" spans="1:1">
      <c r="A18" s="19" t="s">
        <v>108</v>
      </c>
    </row>
    <row r="79" spans="1:21" ht="18">
      <c r="A79" s="53" t="s">
        <v>96</v>
      </c>
      <c r="B79" s="58" t="s">
        <v>61</v>
      </c>
      <c r="C79" s="58" t="s">
        <v>63</v>
      </c>
      <c r="D79" s="58" t="s">
        <v>65</v>
      </c>
      <c r="E79" s="58" t="s">
        <v>109</v>
      </c>
      <c r="F79" s="58" t="s">
        <v>69</v>
      </c>
      <c r="G79" s="58" t="s">
        <v>71</v>
      </c>
      <c r="H79" s="58" t="s">
        <v>73</v>
      </c>
      <c r="I79" s="58" t="s">
        <v>75</v>
      </c>
      <c r="J79" s="58" t="s">
        <v>77</v>
      </c>
      <c r="K79" s="58" t="s">
        <v>79</v>
      </c>
      <c r="L79" s="58" t="s">
        <v>81</v>
      </c>
      <c r="M79" s="58" t="s">
        <v>83</v>
      </c>
      <c r="N79" s="58" t="s">
        <v>110</v>
      </c>
      <c r="O79" s="58" t="s">
        <v>85</v>
      </c>
      <c r="P79" s="58" t="s">
        <v>111</v>
      </c>
      <c r="Q79" s="58" t="s">
        <v>112</v>
      </c>
      <c r="R79" s="58" t="s">
        <v>89</v>
      </c>
      <c r="S79" s="58" t="s">
        <v>91</v>
      </c>
      <c r="T79" s="58" t="s">
        <v>93</v>
      </c>
      <c r="U79" s="58" t="s">
        <v>95</v>
      </c>
    </row>
    <row r="80" spans="1:21">
      <c r="A80" s="59" t="s">
        <v>97</v>
      </c>
      <c r="B80" s="49">
        <v>20</v>
      </c>
      <c r="C80" s="49">
        <v>22</v>
      </c>
      <c r="D80" s="49">
        <v>33</v>
      </c>
      <c r="E80" s="49"/>
      <c r="F80" s="49"/>
      <c r="G80" s="49">
        <v>29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spans="1:21">
      <c r="A81" s="59" t="s">
        <v>98</v>
      </c>
      <c r="B81" s="49">
        <v>23</v>
      </c>
      <c r="C81" s="49">
        <v>31</v>
      </c>
      <c r="D81" s="49">
        <v>38</v>
      </c>
      <c r="E81" s="49"/>
      <c r="F81" s="49"/>
      <c r="G81" s="49">
        <v>32</v>
      </c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spans="1:21">
      <c r="A82" s="59" t="s">
        <v>99</v>
      </c>
      <c r="B82" s="49">
        <v>33</v>
      </c>
      <c r="C82" s="49">
        <v>38</v>
      </c>
      <c r="D82" s="49">
        <v>50</v>
      </c>
      <c r="E82" s="49"/>
      <c r="F82" s="49"/>
      <c r="G82" s="49">
        <v>51</v>
      </c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1:21">
      <c r="A83" s="59" t="s">
        <v>100</v>
      </c>
      <c r="B83" s="49">
        <v>29</v>
      </c>
      <c r="C83" s="49">
        <v>23</v>
      </c>
      <c r="D83" s="49">
        <v>28</v>
      </c>
      <c r="E83" s="49"/>
      <c r="F83" s="49"/>
      <c r="G83" s="49">
        <v>28</v>
      </c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spans="1:21">
      <c r="A84" s="59" t="s">
        <v>101</v>
      </c>
      <c r="B84" s="49">
        <v>64</v>
      </c>
      <c r="C84" s="49">
        <v>61</v>
      </c>
      <c r="D84" s="49">
        <v>69</v>
      </c>
      <c r="E84" s="49"/>
      <c r="F84" s="49"/>
      <c r="G84" s="49">
        <v>58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1:21">
      <c r="A85" s="59" t="s">
        <v>102</v>
      </c>
      <c r="B85" s="49">
        <v>18</v>
      </c>
      <c r="C85" s="49">
        <v>26</v>
      </c>
      <c r="D85" s="49">
        <v>20</v>
      </c>
      <c r="E85" s="49"/>
      <c r="F85" s="49"/>
      <c r="G85" s="49">
        <v>16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 spans="1:21">
      <c r="A86" s="59" t="s">
        <v>103</v>
      </c>
      <c r="B86" s="49">
        <v>31</v>
      </c>
      <c r="C86" s="49">
        <v>28</v>
      </c>
      <c r="D86" s="49">
        <v>21</v>
      </c>
      <c r="E86" s="49"/>
      <c r="F86" s="49"/>
      <c r="G86" s="49">
        <v>24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1:21">
      <c r="A87" s="59" t="s">
        <v>104</v>
      </c>
      <c r="B87" s="49">
        <v>1.1000000000000001</v>
      </c>
      <c r="C87" s="49">
        <v>2.6</v>
      </c>
      <c r="D87" s="49">
        <v>2.9</v>
      </c>
      <c r="E87" s="49"/>
      <c r="F87" s="49"/>
      <c r="G87" s="49">
        <v>3.2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1:21">
      <c r="A88" s="59" t="s">
        <v>105</v>
      </c>
      <c r="B88" s="49">
        <v>1.2</v>
      </c>
      <c r="C88" s="49">
        <v>0.7</v>
      </c>
      <c r="D88" s="49">
        <v>0.8</v>
      </c>
      <c r="E88" s="49"/>
      <c r="F88" s="49"/>
      <c r="G88" s="49">
        <v>1.2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1:21">
      <c r="A89" s="59" t="s">
        <v>106</v>
      </c>
      <c r="B89" s="49"/>
      <c r="C89" s="49"/>
      <c r="D89" s="49"/>
      <c r="E89" s="49"/>
      <c r="F89" s="49"/>
      <c r="G89" s="49"/>
      <c r="H89" s="49"/>
      <c r="I89" s="49"/>
      <c r="J89" s="49"/>
      <c r="K89" s="49">
        <v>81</v>
      </c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1:21">
      <c r="A90" s="59" t="s">
        <v>107</v>
      </c>
      <c r="B90" s="49">
        <v>2</v>
      </c>
      <c r="C90" s="49">
        <v>2.2000000000000002</v>
      </c>
      <c r="D90" s="49">
        <v>1.5</v>
      </c>
      <c r="E90" s="49"/>
      <c r="F90" s="49"/>
      <c r="G90" s="49">
        <v>3.3</v>
      </c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</row>
  </sheetData>
  <mergeCells count="20">
    <mergeCell ref="V3:W3"/>
    <mergeCell ref="B2:B3"/>
    <mergeCell ref="C2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J3:AK3"/>
    <mergeCell ref="AL3:AM3"/>
    <mergeCell ref="X3:Y3"/>
    <mergeCell ref="Z3:AA3"/>
    <mergeCell ref="AB3:AC3"/>
    <mergeCell ref="AD3:AE3"/>
    <mergeCell ref="AF3:AG3"/>
    <mergeCell ref="AH3:A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61A1-4959-664C-92E8-27438867835A}">
  <sheetPr>
    <tabColor theme="7" tint="0.79998168889431442"/>
  </sheetPr>
  <dimension ref="A1:J27"/>
  <sheetViews>
    <sheetView topLeftCell="I1" zoomScale="120" zoomScaleNormal="120" workbookViewId="0">
      <selection activeCell="J33" sqref="J33"/>
    </sheetView>
  </sheetViews>
  <sheetFormatPr defaultColWidth="8.86328125" defaultRowHeight="15.75"/>
  <cols>
    <col min="1" max="1" width="15.73046875" style="63" hidden="1" customWidth="1"/>
    <col min="2" max="2" width="49" style="63" hidden="1" customWidth="1"/>
    <col min="3" max="3" width="0" style="62" hidden="1" customWidth="1"/>
    <col min="4" max="4" width="41.73046875" style="62" hidden="1" customWidth="1"/>
    <col min="5" max="8" width="0" style="62" hidden="1" customWidth="1"/>
    <col min="9" max="9" width="19.73046875" style="72" bestFit="1" customWidth="1"/>
    <col min="10" max="10" width="46.73046875" style="72" bestFit="1" customWidth="1"/>
    <col min="11" max="16384" width="8.86328125" style="62"/>
  </cols>
  <sheetData>
    <row r="1" spans="1:10">
      <c r="A1" s="61" t="s">
        <v>113</v>
      </c>
      <c r="B1" s="61" t="s">
        <v>114</v>
      </c>
      <c r="D1" s="61" t="s">
        <v>115</v>
      </c>
      <c r="I1" s="60" t="s">
        <v>116</v>
      </c>
      <c r="J1" s="60" t="s">
        <v>117</v>
      </c>
    </row>
    <row r="2" spans="1:10">
      <c r="A2" s="63" t="s">
        <v>118</v>
      </c>
      <c r="B2" s="63" t="s">
        <v>119</v>
      </c>
      <c r="D2" s="64" t="s">
        <v>120</v>
      </c>
      <c r="I2" s="63" t="s">
        <v>121</v>
      </c>
      <c r="J2" s="65" t="s">
        <v>119</v>
      </c>
    </row>
    <row r="3" spans="1:10">
      <c r="A3" s="63" t="s">
        <v>122</v>
      </c>
      <c r="B3" s="63" t="s">
        <v>123</v>
      </c>
      <c r="D3" s="64" t="s">
        <v>124</v>
      </c>
      <c r="I3" s="63" t="s">
        <v>125</v>
      </c>
      <c r="J3" s="62" t="s">
        <v>123</v>
      </c>
    </row>
    <row r="4" spans="1:10">
      <c r="A4" s="63" t="s">
        <v>126</v>
      </c>
      <c r="B4" s="63" t="s">
        <v>127</v>
      </c>
      <c r="D4" s="64" t="s">
        <v>128</v>
      </c>
      <c r="I4" s="63" t="s">
        <v>129</v>
      </c>
      <c r="J4" s="66"/>
    </row>
    <row r="5" spans="1:10">
      <c r="A5" s="63" t="s">
        <v>130</v>
      </c>
      <c r="B5" s="63" t="s">
        <v>131</v>
      </c>
      <c r="D5" s="62" t="s">
        <v>132</v>
      </c>
      <c r="E5" s="62" t="s">
        <v>133</v>
      </c>
      <c r="I5" s="63" t="s">
        <v>134</v>
      </c>
      <c r="J5" s="67" t="s">
        <v>131</v>
      </c>
    </row>
    <row r="6" spans="1:10">
      <c r="A6" s="63" t="s">
        <v>135</v>
      </c>
      <c r="B6" s="63" t="s">
        <v>127</v>
      </c>
      <c r="D6" s="62" t="s">
        <v>127</v>
      </c>
      <c r="E6" s="62" t="s">
        <v>135</v>
      </c>
      <c r="F6" s="62" t="s">
        <v>136</v>
      </c>
      <c r="I6" s="63" t="s">
        <v>137</v>
      </c>
      <c r="J6" s="68" t="s">
        <v>127</v>
      </c>
    </row>
    <row r="7" spans="1:10">
      <c r="A7" s="63" t="s">
        <v>138</v>
      </c>
      <c r="B7" s="63" t="s">
        <v>123</v>
      </c>
      <c r="D7" s="64" t="s">
        <v>139</v>
      </c>
      <c r="I7" s="63" t="s">
        <v>140</v>
      </c>
      <c r="J7" s="66"/>
    </row>
    <row r="8" spans="1:10">
      <c r="A8" s="63" t="s">
        <v>141</v>
      </c>
      <c r="B8" s="63" t="s">
        <v>127</v>
      </c>
      <c r="D8" s="64" t="s">
        <v>142</v>
      </c>
      <c r="I8" s="63" t="s">
        <v>143</v>
      </c>
      <c r="J8" s="66"/>
    </row>
    <row r="9" spans="1:10">
      <c r="A9" s="63" t="s">
        <v>144</v>
      </c>
      <c r="B9" s="63" t="s">
        <v>145</v>
      </c>
      <c r="D9" s="64" t="s">
        <v>146</v>
      </c>
      <c r="I9" s="63" t="s">
        <v>147</v>
      </c>
      <c r="J9" s="69" t="s">
        <v>145</v>
      </c>
    </row>
    <row r="10" spans="1:10">
      <c r="A10" s="63" t="s">
        <v>148</v>
      </c>
      <c r="B10" s="63" t="s">
        <v>149</v>
      </c>
      <c r="D10" s="64" t="s">
        <v>150</v>
      </c>
      <c r="I10" s="63" t="s">
        <v>151</v>
      </c>
      <c r="J10" s="62" t="s">
        <v>149</v>
      </c>
    </row>
    <row r="11" spans="1:10">
      <c r="A11" s="63" t="s">
        <v>136</v>
      </c>
      <c r="B11" s="63" t="s">
        <v>127</v>
      </c>
      <c r="D11" s="62" t="s">
        <v>152</v>
      </c>
      <c r="E11" s="62" t="s">
        <v>153</v>
      </c>
      <c r="I11" s="63" t="s">
        <v>154</v>
      </c>
      <c r="J11" s="68" t="s">
        <v>127</v>
      </c>
    </row>
    <row r="12" spans="1:10">
      <c r="A12" s="63" t="s">
        <v>155</v>
      </c>
      <c r="B12" s="63" t="s">
        <v>131</v>
      </c>
      <c r="D12" s="62" t="s">
        <v>123</v>
      </c>
      <c r="E12" s="62" t="s">
        <v>122</v>
      </c>
      <c r="I12" s="63" t="s">
        <v>156</v>
      </c>
      <c r="J12" s="67" t="s">
        <v>131</v>
      </c>
    </row>
    <row r="13" spans="1:10">
      <c r="A13" s="63" t="s">
        <v>157</v>
      </c>
      <c r="B13" s="63" t="s">
        <v>145</v>
      </c>
      <c r="D13" s="62" t="s">
        <v>131</v>
      </c>
      <c r="E13" s="62" t="s">
        <v>130</v>
      </c>
      <c r="F13" s="62" t="s">
        <v>155</v>
      </c>
      <c r="G13" s="62" t="s">
        <v>158</v>
      </c>
      <c r="I13" s="63" t="s">
        <v>159</v>
      </c>
      <c r="J13" s="69" t="s">
        <v>145</v>
      </c>
    </row>
    <row r="14" spans="1:10">
      <c r="A14" s="63" t="s">
        <v>133</v>
      </c>
      <c r="B14" s="63" t="s">
        <v>132</v>
      </c>
      <c r="D14" s="62" t="s">
        <v>119</v>
      </c>
      <c r="E14" s="62" t="s">
        <v>118</v>
      </c>
      <c r="F14" s="62" t="s">
        <v>160</v>
      </c>
      <c r="G14" s="62" t="s">
        <v>161</v>
      </c>
      <c r="I14" s="63" t="s">
        <v>162</v>
      </c>
      <c r="J14" s="66" t="s">
        <v>132</v>
      </c>
    </row>
    <row r="15" spans="1:10">
      <c r="A15" s="63" t="s">
        <v>153</v>
      </c>
      <c r="B15" s="63" t="s">
        <v>152</v>
      </c>
      <c r="D15" s="64" t="s">
        <v>163</v>
      </c>
      <c r="I15" s="63" t="s">
        <v>164</v>
      </c>
      <c r="J15" s="62" t="s">
        <v>152</v>
      </c>
    </row>
    <row r="16" spans="1:10">
      <c r="A16" s="63" t="s">
        <v>160</v>
      </c>
      <c r="B16" s="63" t="s">
        <v>119</v>
      </c>
      <c r="D16" s="62" t="s">
        <v>145</v>
      </c>
      <c r="E16" s="62" t="s">
        <v>144</v>
      </c>
      <c r="F16" s="62" t="s">
        <v>157</v>
      </c>
      <c r="G16" s="62" t="s">
        <v>165</v>
      </c>
      <c r="I16" s="63" t="s">
        <v>166</v>
      </c>
      <c r="J16" s="65" t="s">
        <v>119</v>
      </c>
    </row>
    <row r="17" spans="1:10">
      <c r="A17" s="63" t="s">
        <v>167</v>
      </c>
      <c r="B17" s="63" t="s">
        <v>123</v>
      </c>
      <c r="D17" s="62" t="s">
        <v>149</v>
      </c>
      <c r="E17" s="62" t="s">
        <v>148</v>
      </c>
      <c r="I17" s="63" t="s">
        <v>168</v>
      </c>
      <c r="J17" s="66"/>
    </row>
    <row r="18" spans="1:10">
      <c r="A18" s="63" t="s">
        <v>161</v>
      </c>
      <c r="B18" s="63" t="s">
        <v>119</v>
      </c>
      <c r="D18" s="64" t="s">
        <v>169</v>
      </c>
      <c r="I18" s="63" t="s">
        <v>170</v>
      </c>
      <c r="J18" s="65" t="s">
        <v>119</v>
      </c>
    </row>
    <row r="19" spans="1:10">
      <c r="A19" s="63" t="s">
        <v>171</v>
      </c>
      <c r="B19" s="63" t="s">
        <v>172</v>
      </c>
      <c r="D19" s="62" t="s">
        <v>172</v>
      </c>
      <c r="E19" s="62" t="s">
        <v>171</v>
      </c>
      <c r="I19" s="63" t="s">
        <v>173</v>
      </c>
      <c r="J19" s="62" t="s">
        <v>172</v>
      </c>
    </row>
    <row r="20" spans="1:10">
      <c r="A20" s="63" t="s">
        <v>158</v>
      </c>
      <c r="B20" s="63" t="s">
        <v>131</v>
      </c>
      <c r="D20" s="70" t="s">
        <v>174</v>
      </c>
      <c r="E20" s="71">
        <f>COUNTA(E2:G19)</f>
        <v>16</v>
      </c>
      <c r="I20" s="63" t="s">
        <v>175</v>
      </c>
      <c r="J20" s="67" t="s">
        <v>131</v>
      </c>
    </row>
    <row r="21" spans="1:10">
      <c r="A21" s="63" t="s">
        <v>165</v>
      </c>
      <c r="B21" s="63" t="s">
        <v>145</v>
      </c>
      <c r="I21" s="63" t="s">
        <v>176</v>
      </c>
      <c r="J21" s="69" t="s">
        <v>145</v>
      </c>
    </row>
    <row r="22" spans="1:10">
      <c r="J22" s="66"/>
    </row>
    <row r="23" spans="1:10">
      <c r="J23" s="66"/>
    </row>
    <row r="24" spans="1:10">
      <c r="J24" s="66"/>
    </row>
    <row r="25" spans="1:10">
      <c r="J25" s="66"/>
    </row>
    <row r="26" spans="1:10">
      <c r="J26" s="66"/>
    </row>
    <row r="27" spans="1:10">
      <c r="J27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43E3-B95F-6744-917D-FD1C447FB6DE}">
  <sheetPr>
    <tabColor theme="7" tint="0.79998168889431442"/>
  </sheetPr>
  <dimension ref="A1:N15"/>
  <sheetViews>
    <sheetView zoomScale="140" zoomScaleNormal="140" workbookViewId="0">
      <selection activeCell="A3" sqref="A3:A9"/>
    </sheetView>
  </sheetViews>
  <sheetFormatPr defaultColWidth="9.1328125" defaultRowHeight="10.5"/>
  <cols>
    <col min="1" max="1" width="32" style="91" customWidth="1"/>
    <col min="2" max="2" width="6.265625" style="80" customWidth="1"/>
    <col min="3" max="3" width="7" style="80" customWidth="1"/>
    <col min="4" max="10" width="6.265625" style="80" customWidth="1"/>
    <col min="11" max="11" width="9.1328125" style="80"/>
    <col min="12" max="12" width="9.265625" style="80" bestFit="1" customWidth="1"/>
    <col min="13" max="13" width="10" style="80" bestFit="1" customWidth="1"/>
    <col min="14" max="14" width="9.265625" style="80" bestFit="1" customWidth="1"/>
    <col min="15" max="16384" width="9.1328125" style="80"/>
  </cols>
  <sheetData>
    <row r="1" spans="1:14" ht="105.95" customHeight="1">
      <c r="A1" s="74"/>
      <c r="B1" s="75" t="s">
        <v>121</v>
      </c>
      <c r="C1" s="75" t="s">
        <v>125</v>
      </c>
      <c r="D1" s="76" t="s">
        <v>177</v>
      </c>
      <c r="E1" s="77" t="s">
        <v>178</v>
      </c>
      <c r="F1" s="78" t="s">
        <v>179</v>
      </c>
      <c r="G1" s="75" t="s">
        <v>151</v>
      </c>
      <c r="H1" s="75" t="s">
        <v>162</v>
      </c>
      <c r="I1" s="75" t="s">
        <v>164</v>
      </c>
      <c r="J1" s="75" t="s">
        <v>173</v>
      </c>
      <c r="K1" s="79"/>
    </row>
    <row r="2" spans="1:14" s="85" customFormat="1" ht="74.25" customHeight="1" thickBot="1">
      <c r="A2" s="73" t="s">
        <v>41</v>
      </c>
      <c r="B2" s="81" t="s">
        <v>119</v>
      </c>
      <c r="C2" s="81" t="s">
        <v>123</v>
      </c>
      <c r="D2" s="81" t="s">
        <v>131</v>
      </c>
      <c r="E2" s="81" t="s">
        <v>127</v>
      </c>
      <c r="F2" s="81" t="s">
        <v>145</v>
      </c>
      <c r="G2" s="81" t="s">
        <v>149</v>
      </c>
      <c r="H2" s="81" t="s">
        <v>132</v>
      </c>
      <c r="I2" s="81" t="s">
        <v>152</v>
      </c>
      <c r="J2" s="82" t="s">
        <v>172</v>
      </c>
      <c r="K2" s="83"/>
      <c r="L2" s="84"/>
      <c r="M2" s="84"/>
      <c r="N2" s="84"/>
    </row>
    <row r="3" spans="1:14" ht="42.75" customHeight="1">
      <c r="A3" s="86" t="s">
        <v>180</v>
      </c>
      <c r="B3" s="87">
        <v>110.11699931176877</v>
      </c>
      <c r="C3" s="87">
        <v>177.51055758356597</v>
      </c>
      <c r="D3" s="87">
        <v>186.37352826293176</v>
      </c>
      <c r="E3" s="87">
        <v>145.88041914937332</v>
      </c>
      <c r="F3" s="87">
        <v>139.57255903794629</v>
      </c>
      <c r="G3" s="87">
        <v>256.41025641025641</v>
      </c>
      <c r="H3" s="87">
        <v>242.09486166007903</v>
      </c>
      <c r="I3" s="88">
        <v>101.84835910976989</v>
      </c>
      <c r="J3" s="89">
        <v>242.79210925644915</v>
      </c>
      <c r="K3" s="79"/>
    </row>
    <row r="4" spans="1:14" ht="42.75" customHeight="1">
      <c r="A4" s="86" t="s">
        <v>181</v>
      </c>
      <c r="B4" s="87">
        <v>801.78940123881625</v>
      </c>
      <c r="C4" s="87">
        <v>877.53203063488661</v>
      </c>
      <c r="D4" s="87">
        <v>811.33865297695445</v>
      </c>
      <c r="E4" s="87">
        <v>997.0207520032875</v>
      </c>
      <c r="F4" s="87">
        <v>844.91245560471066</v>
      </c>
      <c r="G4" s="87">
        <v>893.16239316239319</v>
      </c>
      <c r="H4" s="87">
        <v>953.55731225296449</v>
      </c>
      <c r="I4" s="88">
        <v>682.76122218030935</v>
      </c>
      <c r="J4" s="89">
        <v>763.7835103692463</v>
      </c>
      <c r="K4" s="79"/>
    </row>
    <row r="5" spans="1:14" ht="42.75" customHeight="1">
      <c r="A5" s="86" t="s">
        <v>182</v>
      </c>
      <c r="B5" s="88">
        <v>91.190640055058495</v>
      </c>
      <c r="C5" s="87">
        <v>37.219955622360608</v>
      </c>
      <c r="D5" s="87">
        <v>25.668210479325928</v>
      </c>
      <c r="E5" s="87">
        <v>30.306143414834601</v>
      </c>
      <c r="F5" s="88">
        <v>137.08019191226867</v>
      </c>
      <c r="G5" s="87">
        <v>17.094017094017094</v>
      </c>
      <c r="H5" s="87">
        <v>79.051383399209485</v>
      </c>
      <c r="I5" s="87">
        <v>60.354583176159942</v>
      </c>
      <c r="J5" s="90">
        <v>10.116337885685381</v>
      </c>
      <c r="K5" s="79"/>
    </row>
    <row r="6" spans="1:14" ht="42.75" customHeight="1">
      <c r="A6" s="86" t="s">
        <v>183</v>
      </c>
      <c r="B6" s="87">
        <v>1613.9022711631108</v>
      </c>
      <c r="C6" s="87">
        <v>1431.5367547061771</v>
      </c>
      <c r="D6" s="87">
        <v>1328.0508900172981</v>
      </c>
      <c r="E6" s="87">
        <v>1501.9519211012944</v>
      </c>
      <c r="F6" s="87">
        <v>1767.0882921054269</v>
      </c>
      <c r="G6" s="87">
        <v>1393.1623931623931</v>
      </c>
      <c r="H6" s="87">
        <v>1576.086956521739</v>
      </c>
      <c r="I6" s="87">
        <v>1312.7121840814787</v>
      </c>
      <c r="J6" s="89">
        <v>1406.1709661102682</v>
      </c>
      <c r="K6" s="79"/>
    </row>
    <row r="7" spans="1:14" ht="42.75" customHeight="1">
      <c r="A7" s="86" t="s">
        <v>184</v>
      </c>
      <c r="B7" s="87">
        <v>1374.7419132828629</v>
      </c>
      <c r="C7" s="87">
        <v>1262.6154176508483</v>
      </c>
      <c r="D7" s="87">
        <v>1148.3734166620166</v>
      </c>
      <c r="E7" s="88">
        <v>1137.7645366755701</v>
      </c>
      <c r="F7" s="88">
        <v>1848.0902236899497</v>
      </c>
      <c r="G7" s="87">
        <v>1333.3333333333335</v>
      </c>
      <c r="H7" s="87">
        <v>1417.98418972332</v>
      </c>
      <c r="I7" s="87">
        <v>1346.6616371180685</v>
      </c>
      <c r="J7" s="89">
        <v>1203.8442083965606</v>
      </c>
      <c r="K7" s="79"/>
    </row>
    <row r="8" spans="1:14" ht="42.75" customHeight="1">
      <c r="A8" s="86" t="s">
        <v>185</v>
      </c>
      <c r="B8" s="87">
        <v>63.661390227116314</v>
      </c>
      <c r="C8" s="87">
        <v>50.103786414716197</v>
      </c>
      <c r="D8" s="87">
        <v>70.308576530327556</v>
      </c>
      <c r="E8" s="87">
        <v>51.366344770906103</v>
      </c>
      <c r="F8" s="87">
        <v>54.832076764907463</v>
      </c>
      <c r="G8" s="87">
        <v>47.008547008547005</v>
      </c>
      <c r="H8" s="87">
        <v>59.288537549407117</v>
      </c>
      <c r="I8" s="87">
        <v>37.721614485099963</v>
      </c>
      <c r="J8" s="89">
        <v>85.988872028325744</v>
      </c>
      <c r="K8" s="79"/>
    </row>
    <row r="9" spans="1:14" ht="42.75" customHeight="1">
      <c r="A9" s="86" t="s">
        <v>186</v>
      </c>
      <c r="B9" s="87">
        <v>623.81133510840618</v>
      </c>
      <c r="C9" s="87">
        <v>513.72155287817941</v>
      </c>
      <c r="D9" s="87">
        <v>537.15308863025962</v>
      </c>
      <c r="E9" s="87">
        <v>572.06474265650422</v>
      </c>
      <c r="F9" s="88">
        <v>699.56019791094013</v>
      </c>
      <c r="G9" s="87">
        <v>520.27185376142484</v>
      </c>
      <c r="H9" s="87">
        <v>501.67224080267562</v>
      </c>
      <c r="I9" s="87">
        <v>464.16938110749186</v>
      </c>
      <c r="J9" s="89">
        <v>606.39470782800436</v>
      </c>
      <c r="K9" s="79"/>
    </row>
    <row r="15" spans="1:14" ht="15.75">
      <c r="A15" s="92" t="s">
        <v>187</v>
      </c>
    </row>
  </sheetData>
  <conditionalFormatting sqref="B3:J3">
    <cfRule type="aboveAverage" dxfId="15" priority="15" aboveAverage="0"/>
    <cfRule type="aboveAverage" dxfId="14" priority="16"/>
  </conditionalFormatting>
  <conditionalFormatting sqref="B4:J4">
    <cfRule type="aboveAverage" dxfId="13" priority="17" aboveAverage="0"/>
    <cfRule type="aboveAverage" dxfId="12" priority="18"/>
  </conditionalFormatting>
  <conditionalFormatting sqref="B5:J5">
    <cfRule type="aboveAverage" dxfId="11" priority="19" aboveAverage="0"/>
    <cfRule type="aboveAverage" dxfId="10" priority="20"/>
  </conditionalFormatting>
  <conditionalFormatting sqref="B6:J6">
    <cfRule type="aboveAverage" dxfId="9" priority="21" aboveAverage="0"/>
    <cfRule type="aboveAverage" dxfId="8" priority="22"/>
  </conditionalFormatting>
  <conditionalFormatting sqref="B7:J7">
    <cfRule type="aboveAverage" dxfId="7" priority="23" aboveAverage="0"/>
    <cfRule type="aboveAverage" dxfId="6" priority="24"/>
  </conditionalFormatting>
  <conditionalFormatting sqref="B8:J8">
    <cfRule type="aboveAverage" dxfId="5" priority="25" aboveAverage="0"/>
    <cfRule type="aboveAverage" dxfId="4" priority="26"/>
  </conditionalFormatting>
  <conditionalFormatting sqref="B9:J9">
    <cfRule type="aboveAverage" dxfId="3" priority="27" aboveAverage="0"/>
    <cfRule type="aboveAverage" dxfId="2" priority="28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4AC3-17BA-2C46-9C5C-ECB62DA8DFD0}">
  <sheetPr>
    <tabColor theme="7" tint="0.79998168889431442"/>
  </sheetPr>
  <dimension ref="A1:Q17"/>
  <sheetViews>
    <sheetView topLeftCell="A4" zoomScale="140" zoomScaleNormal="140" workbookViewId="0">
      <selection activeCell="A17" sqref="A17"/>
    </sheetView>
  </sheetViews>
  <sheetFormatPr defaultColWidth="9.1328125" defaultRowHeight="10.5"/>
  <cols>
    <col min="1" max="1" width="32" style="91" customWidth="1"/>
    <col min="2" max="2" width="6.265625" style="80" customWidth="1"/>
    <col min="3" max="3" width="7" style="80" customWidth="1"/>
    <col min="4" max="10" width="6.265625" style="80" customWidth="1"/>
    <col min="11" max="11" width="9.1328125" style="80"/>
    <col min="12" max="12" width="9.265625" style="80" bestFit="1" customWidth="1"/>
    <col min="13" max="13" width="10" style="80" bestFit="1" customWidth="1"/>
    <col min="14" max="14" width="9.265625" style="80" bestFit="1" customWidth="1"/>
    <col min="15" max="16384" width="9.1328125" style="80"/>
  </cols>
  <sheetData>
    <row r="1" spans="1:17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4"/>
      <c r="L1" s="95"/>
      <c r="M1" s="95"/>
      <c r="N1" s="95"/>
      <c r="O1" s="95"/>
      <c r="P1" s="95"/>
      <c r="Q1" s="95"/>
    </row>
    <row r="2" spans="1:17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4"/>
      <c r="L2" s="95"/>
      <c r="M2" s="95"/>
      <c r="N2" s="95"/>
      <c r="O2" s="95"/>
      <c r="P2" s="95"/>
      <c r="Q2" s="95"/>
    </row>
    <row r="3" spans="1:17" ht="13.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5"/>
      <c r="M3" s="95"/>
      <c r="N3" s="95"/>
      <c r="O3" s="95"/>
      <c r="P3" s="95"/>
      <c r="Q3" s="95"/>
    </row>
    <row r="4" spans="1:17" ht="14.25" customHeight="1">
      <c r="A4" s="96"/>
      <c r="B4" s="96"/>
      <c r="C4" s="96"/>
      <c r="D4" s="96"/>
      <c r="E4" s="96"/>
      <c r="F4" s="96"/>
      <c r="G4" s="74"/>
      <c r="H4" s="96"/>
      <c r="I4" s="96"/>
      <c r="J4" s="74"/>
      <c r="K4" s="79"/>
    </row>
    <row r="5" spans="1:17" ht="14.25" customHeight="1">
      <c r="A5" s="96"/>
      <c r="B5" s="96"/>
      <c r="C5" s="96"/>
      <c r="D5" s="96"/>
      <c r="E5" s="96"/>
      <c r="F5" s="96"/>
      <c r="G5" s="74"/>
      <c r="H5" s="96"/>
      <c r="I5" s="96"/>
      <c r="J5" s="74"/>
      <c r="K5" s="79"/>
    </row>
    <row r="6" spans="1:17" ht="105.95" customHeight="1">
      <c r="A6" s="74"/>
      <c r="B6" s="75" t="s">
        <v>121</v>
      </c>
      <c r="C6" s="75" t="s">
        <v>125</v>
      </c>
      <c r="D6" s="76" t="s">
        <v>177</v>
      </c>
      <c r="E6" s="77" t="s">
        <v>178</v>
      </c>
      <c r="F6" s="78" t="s">
        <v>179</v>
      </c>
      <c r="G6" s="75" t="s">
        <v>151</v>
      </c>
      <c r="H6" s="75" t="s">
        <v>162</v>
      </c>
      <c r="I6" s="75" t="s">
        <v>164</v>
      </c>
      <c r="J6" s="75" t="s">
        <v>173</v>
      </c>
      <c r="K6" s="79"/>
    </row>
    <row r="7" spans="1:17" s="85" customFormat="1" ht="74.25" customHeight="1" thickBot="1">
      <c r="A7" s="73" t="s">
        <v>41</v>
      </c>
      <c r="B7" s="81" t="s">
        <v>119</v>
      </c>
      <c r="C7" s="81" t="s">
        <v>123</v>
      </c>
      <c r="D7" s="81" t="s">
        <v>131</v>
      </c>
      <c r="E7" s="81" t="s">
        <v>127</v>
      </c>
      <c r="F7" s="81" t="s">
        <v>145</v>
      </c>
      <c r="G7" s="81" t="s">
        <v>149</v>
      </c>
      <c r="H7" s="81" t="s">
        <v>132</v>
      </c>
      <c r="I7" s="81" t="s">
        <v>152</v>
      </c>
      <c r="J7" s="82" t="s">
        <v>172</v>
      </c>
      <c r="K7" s="83"/>
      <c r="L7" s="84"/>
      <c r="M7" s="84"/>
      <c r="N7" s="84"/>
    </row>
    <row r="8" spans="1:17" ht="42.75" customHeight="1">
      <c r="A8" s="86" t="s">
        <v>188</v>
      </c>
      <c r="B8" s="97">
        <v>74.135081290843203</v>
      </c>
      <c r="C8" s="98">
        <v>103.004268571368</v>
      </c>
      <c r="D8" s="98">
        <v>114.01450659318</v>
      </c>
      <c r="E8" s="99">
        <v>82.732552708284999</v>
      </c>
      <c r="F8" s="98">
        <v>112.284243354954</v>
      </c>
      <c r="G8" s="100">
        <v>150.577257518485</v>
      </c>
      <c r="H8" s="99">
        <v>97.044420935022202</v>
      </c>
      <c r="I8" s="99">
        <v>97.023521123205796</v>
      </c>
      <c r="J8" s="101">
        <v>108.122951638545</v>
      </c>
      <c r="K8" s="79"/>
      <c r="L8" s="102"/>
      <c r="M8" s="102"/>
      <c r="N8" s="103"/>
    </row>
    <row r="9" spans="1:17" ht="42.75" customHeight="1">
      <c r="A9" s="86" t="s">
        <v>189</v>
      </c>
      <c r="B9" s="100">
        <v>107.494853738412</v>
      </c>
      <c r="C9" s="99">
        <v>94.762030855970195</v>
      </c>
      <c r="D9" s="98">
        <v>100.843851027441</v>
      </c>
      <c r="E9" s="98">
        <v>105.49528163353401</v>
      </c>
      <c r="F9" s="99">
        <v>97.873923835165499</v>
      </c>
      <c r="G9" s="99">
        <v>92.198245089637695</v>
      </c>
      <c r="H9" s="99">
        <v>93.325513068047201</v>
      </c>
      <c r="I9" s="98">
        <v>101.747471092651</v>
      </c>
      <c r="J9" s="104">
        <v>96.185675111613094</v>
      </c>
      <c r="K9" s="79"/>
      <c r="L9" s="102"/>
      <c r="M9" s="102"/>
      <c r="N9" s="103"/>
    </row>
    <row r="10" spans="1:17" ht="42.75" customHeight="1">
      <c r="A10" s="86" t="s">
        <v>190</v>
      </c>
      <c r="B10" s="98">
        <v>101.514576437888</v>
      </c>
      <c r="C10" s="99">
        <v>97.953389617383905</v>
      </c>
      <c r="D10" s="98">
        <v>100.67879116600101</v>
      </c>
      <c r="E10" s="98">
        <v>104.45439661919301</v>
      </c>
      <c r="F10" s="97">
        <v>91.526823785695598</v>
      </c>
      <c r="G10" s="99">
        <v>99.604249194526005</v>
      </c>
      <c r="H10" s="99">
        <v>93.508286871675907</v>
      </c>
      <c r="I10" s="97">
        <v>92.173097249792804</v>
      </c>
      <c r="J10" s="104">
        <v>95.105398956657993</v>
      </c>
      <c r="K10" s="79"/>
      <c r="L10" s="102"/>
      <c r="M10" s="102"/>
      <c r="N10" s="103"/>
    </row>
    <row r="11" spans="1:17" ht="42.75" customHeight="1">
      <c r="A11" s="86" t="s">
        <v>191</v>
      </c>
      <c r="B11" s="105">
        <v>83.317211172815789</v>
      </c>
      <c r="C11" s="105">
        <v>148.38835019347178</v>
      </c>
      <c r="D11" s="105">
        <v>65.86254007282858</v>
      </c>
      <c r="E11" s="105">
        <v>69.488959313120731</v>
      </c>
      <c r="F11" s="105">
        <v>85.590413919583241</v>
      </c>
      <c r="G11" s="106">
        <v>0</v>
      </c>
      <c r="H11" s="100">
        <v>180.22212710151001</v>
      </c>
      <c r="I11" s="106">
        <v>0</v>
      </c>
      <c r="J11" s="107">
        <v>89.275516364458539</v>
      </c>
      <c r="K11" s="79"/>
      <c r="L11" s="102"/>
      <c r="M11" s="102"/>
      <c r="N11" s="103"/>
    </row>
    <row r="17" spans="1:1" ht="15.75">
      <c r="A17" s="92" t="s">
        <v>187</v>
      </c>
    </row>
  </sheetData>
  <conditionalFormatting sqref="B11:J11">
    <cfRule type="aboveAverage" dxfId="1" priority="29" aboveAverage="0"/>
    <cfRule type="aboveAverage" dxfId="0" priority="3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C4AA-BCCF-C14E-BEBB-415F2BCA7A09}">
  <sheetPr>
    <tabColor rgb="FF92D050"/>
  </sheetPr>
  <dimension ref="A1:D40"/>
  <sheetViews>
    <sheetView zoomScale="120" zoomScaleNormal="120" workbookViewId="0">
      <selection activeCell="C29" sqref="C29"/>
    </sheetView>
  </sheetViews>
  <sheetFormatPr defaultColWidth="10.86328125" defaultRowHeight="13.15"/>
  <cols>
    <col min="1" max="1" width="19" style="2" bestFit="1" customWidth="1"/>
    <col min="2" max="2" width="22.86328125" style="2" bestFit="1" customWidth="1"/>
    <col min="3" max="3" width="21.3984375" style="2" customWidth="1"/>
    <col min="4" max="16384" width="10.86328125" style="2"/>
  </cols>
  <sheetData>
    <row r="1" spans="1:4" ht="15.75">
      <c r="A1" s="4" t="s">
        <v>192</v>
      </c>
      <c r="B1" s="28" t="s">
        <v>193</v>
      </c>
      <c r="C1" s="3"/>
    </row>
    <row r="2" spans="1:4" ht="15.95" customHeight="1">
      <c r="A2" s="5" t="s">
        <v>194</v>
      </c>
      <c r="B2" s="6" t="s">
        <v>195</v>
      </c>
      <c r="C2" s="3"/>
      <c r="D2" s="3"/>
    </row>
    <row r="3" spans="1:4" ht="15.95" customHeight="1">
      <c r="A3" s="5" t="s">
        <v>196</v>
      </c>
      <c r="B3" s="6" t="s">
        <v>197</v>
      </c>
      <c r="C3" s="3"/>
      <c r="D3" s="3"/>
    </row>
    <row r="4" spans="1:4" ht="15.75">
      <c r="A4" s="5" t="s">
        <v>198</v>
      </c>
      <c r="B4" s="7" t="s">
        <v>199</v>
      </c>
      <c r="C4" s="3"/>
      <c r="D4" s="3"/>
    </row>
    <row r="5" spans="1:4" ht="15.75">
      <c r="A5" s="5" t="s">
        <v>200</v>
      </c>
      <c r="B5" s="8" t="s">
        <v>201</v>
      </c>
      <c r="C5" s="3"/>
      <c r="D5" s="3"/>
    </row>
    <row r="6" spans="1:4" ht="31.5">
      <c r="A6" s="5" t="s">
        <v>202</v>
      </c>
      <c r="B6" s="9" t="s">
        <v>203</v>
      </c>
      <c r="C6" s="3"/>
      <c r="D6" s="3"/>
    </row>
    <row r="7" spans="1:4" ht="31.5">
      <c r="A7" s="5" t="s">
        <v>204</v>
      </c>
      <c r="B7" s="9" t="s">
        <v>203</v>
      </c>
      <c r="C7" s="3"/>
      <c r="D7" s="3"/>
    </row>
    <row r="8" spans="1:4" ht="15.75">
      <c r="A8" s="5" t="s">
        <v>205</v>
      </c>
      <c r="B8" s="10" t="s">
        <v>206</v>
      </c>
      <c r="C8" s="3"/>
      <c r="D8" s="3"/>
    </row>
    <row r="9" spans="1:4" ht="15.75">
      <c r="A9" s="5" t="s">
        <v>207</v>
      </c>
      <c r="B9" s="10" t="s">
        <v>206</v>
      </c>
      <c r="C9" s="3"/>
      <c r="D9" s="3"/>
    </row>
    <row r="10" spans="1:4" ht="15.75">
      <c r="A10" s="5" t="s">
        <v>208</v>
      </c>
      <c r="B10" s="11" t="s">
        <v>209</v>
      </c>
      <c r="C10" s="3"/>
      <c r="D10" s="3"/>
    </row>
    <row r="11" spans="1:4" ht="15.75">
      <c r="A11" s="5" t="s">
        <v>210</v>
      </c>
      <c r="B11" s="11" t="s">
        <v>209</v>
      </c>
      <c r="C11" s="3"/>
      <c r="D11" s="3"/>
    </row>
    <row r="12" spans="1:4" ht="15.75">
      <c r="A12" s="5" t="s">
        <v>211</v>
      </c>
      <c r="B12" s="11" t="s">
        <v>209</v>
      </c>
      <c r="C12" s="3"/>
      <c r="D12" s="3"/>
    </row>
    <row r="13" spans="1:4" ht="15.75">
      <c r="A13" s="5" t="s">
        <v>212</v>
      </c>
      <c r="B13" s="29" t="s">
        <v>213</v>
      </c>
      <c r="C13" s="3"/>
      <c r="D13" s="3"/>
    </row>
    <row r="14" spans="1:4" ht="15.75">
      <c r="A14" s="5" t="s">
        <v>214</v>
      </c>
      <c r="B14" s="11" t="s">
        <v>209</v>
      </c>
      <c r="C14" s="3"/>
      <c r="D14" s="3"/>
    </row>
    <row r="15" spans="1:4" ht="15.75">
      <c r="A15" s="5" t="s">
        <v>215</v>
      </c>
      <c r="B15" s="12" t="s">
        <v>216</v>
      </c>
      <c r="C15" s="3"/>
      <c r="D15" s="3"/>
    </row>
    <row r="16" spans="1:4" ht="15.75">
      <c r="A16" s="5" t="s">
        <v>217</v>
      </c>
      <c r="B16" s="27" t="s">
        <v>218</v>
      </c>
      <c r="C16" s="3"/>
      <c r="D16" s="3"/>
    </row>
    <row r="17" spans="1:4" ht="15.75">
      <c r="A17" s="5" t="s">
        <v>219</v>
      </c>
      <c r="B17" s="13" t="s">
        <v>220</v>
      </c>
      <c r="C17" s="3"/>
      <c r="D17" s="3"/>
    </row>
    <row r="18" spans="1:4" ht="15.75">
      <c r="A18" s="5" t="s">
        <v>221</v>
      </c>
      <c r="B18" s="13" t="s">
        <v>220</v>
      </c>
      <c r="C18" s="3"/>
      <c r="D18" s="3"/>
    </row>
    <row r="19" spans="1:4" ht="15.75">
      <c r="A19" s="5" t="s">
        <v>222</v>
      </c>
      <c r="B19" s="13" t="s">
        <v>220</v>
      </c>
      <c r="C19" s="3"/>
      <c r="D19" s="3"/>
    </row>
    <row r="20" spans="1:4" ht="15.75">
      <c r="A20" s="5" t="s">
        <v>223</v>
      </c>
      <c r="B20" s="13" t="s">
        <v>220</v>
      </c>
      <c r="C20" s="3"/>
      <c r="D20" s="3"/>
    </row>
    <row r="21" spans="1:4" ht="15.75">
      <c r="A21" s="5" t="s">
        <v>224</v>
      </c>
      <c r="B21" s="13" t="s">
        <v>220</v>
      </c>
      <c r="C21" s="3"/>
      <c r="D21" s="3"/>
    </row>
    <row r="22" spans="1:4" ht="15.75">
      <c r="A22" s="3"/>
      <c r="B22" s="3"/>
      <c r="C22" s="3"/>
      <c r="D22" s="3"/>
    </row>
    <row r="23" spans="1:4" ht="15.75">
      <c r="A23" s="3"/>
      <c r="B23" s="3"/>
      <c r="C23" s="3"/>
      <c r="D23" s="3"/>
    </row>
    <row r="24" spans="1:4" ht="15.75">
      <c r="A24" s="3"/>
      <c r="B24" s="3"/>
      <c r="C24" s="3"/>
      <c r="D24" s="3"/>
    </row>
    <row r="25" spans="1:4" ht="15.75">
      <c r="A25" s="3"/>
      <c r="B25" s="3"/>
      <c r="C25" s="3"/>
      <c r="D25" s="3"/>
    </row>
    <row r="26" spans="1:4" ht="15.75">
      <c r="A26" s="3"/>
      <c r="B26" s="3"/>
      <c r="C26" s="3"/>
      <c r="D26" s="3"/>
    </row>
    <row r="27" spans="1:4" ht="15.75">
      <c r="A27" s="3"/>
      <c r="B27" s="3"/>
      <c r="C27" s="3"/>
      <c r="D27" s="3"/>
    </row>
    <row r="28" spans="1:4" ht="15.75">
      <c r="A28" s="3"/>
      <c r="B28" s="3"/>
      <c r="C28" s="3"/>
      <c r="D28" s="3"/>
    </row>
    <row r="29" spans="1:4" ht="15.75">
      <c r="A29" s="3"/>
      <c r="B29" s="3"/>
      <c r="C29" s="3"/>
      <c r="D29" s="3"/>
    </row>
    <row r="30" spans="1:4" ht="15.75">
      <c r="A30" s="3"/>
      <c r="B30" s="3"/>
      <c r="C30" s="3"/>
      <c r="D30" s="3"/>
    </row>
    <row r="31" spans="1:4" ht="15.75">
      <c r="A31" s="3"/>
      <c r="B31" s="3"/>
      <c r="C31" s="3"/>
      <c r="D31" s="3"/>
    </row>
    <row r="32" spans="1:4" ht="15.75">
      <c r="A32" s="3"/>
      <c r="B32" s="3"/>
      <c r="C32" s="3"/>
      <c r="D32" s="3"/>
    </row>
    <row r="33" spans="1:4" ht="15.75">
      <c r="A33" s="3"/>
      <c r="B33" s="3"/>
      <c r="C33" s="3"/>
      <c r="D33" s="3"/>
    </row>
    <row r="34" spans="1:4" ht="15.75">
      <c r="A34" s="3"/>
      <c r="B34" s="3"/>
      <c r="C34" s="3"/>
      <c r="D34" s="3"/>
    </row>
    <row r="35" spans="1:4" ht="15.75">
      <c r="A35" s="3"/>
      <c r="B35" s="3"/>
      <c r="C35" s="3"/>
      <c r="D35" s="3"/>
    </row>
    <row r="36" spans="1:4" ht="15.75">
      <c r="A36" s="3"/>
      <c r="B36" s="3"/>
      <c r="C36" s="3"/>
      <c r="D36" s="3"/>
    </row>
    <row r="37" spans="1:4" ht="15.75">
      <c r="A37" s="3"/>
      <c r="B37" s="3"/>
      <c r="C37" s="3"/>
      <c r="D37" s="3"/>
    </row>
    <row r="38" spans="1:4" ht="15.75">
      <c r="A38" s="3"/>
      <c r="B38" s="3"/>
      <c r="C38" s="3"/>
      <c r="D38" s="3"/>
    </row>
    <row r="39" spans="1:4" ht="15.75">
      <c r="A39" s="3"/>
      <c r="B39" s="3"/>
      <c r="C39" s="3"/>
      <c r="D39" s="3"/>
    </row>
    <row r="40" spans="1:4" ht="15.75">
      <c r="A40" s="3"/>
      <c r="B40" s="3"/>
      <c r="C40" s="3"/>
      <c r="D4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5504-D548-EA4D-B202-67E321FA699B}">
  <sheetPr>
    <tabColor rgb="FF92D050"/>
  </sheetPr>
  <dimension ref="A2:L17"/>
  <sheetViews>
    <sheetView zoomScale="120" zoomScaleNormal="120" workbookViewId="0">
      <selection activeCell="A9" sqref="A9"/>
    </sheetView>
  </sheetViews>
  <sheetFormatPr defaultColWidth="10.86328125" defaultRowHeight="13.15"/>
  <cols>
    <col min="1" max="1" width="14.265625" style="1" customWidth="1"/>
    <col min="2" max="2" width="11.19921875" style="1" customWidth="1"/>
    <col min="3" max="3" width="6.265625" style="1" bestFit="1" customWidth="1"/>
    <col min="4" max="4" width="3.73046875" style="1" bestFit="1" customWidth="1"/>
    <col min="5" max="5" width="7.1328125" style="1" bestFit="1" customWidth="1"/>
    <col min="6" max="6" width="9.73046875" style="1" bestFit="1" customWidth="1"/>
    <col min="7" max="8" width="7.73046875" style="1" bestFit="1" customWidth="1"/>
    <col min="9" max="9" width="7.1328125" style="1" bestFit="1" customWidth="1"/>
    <col min="10" max="10" width="6.265625" style="1" bestFit="1" customWidth="1"/>
    <col min="11" max="11" width="9" style="1" bestFit="1" customWidth="1"/>
    <col min="12" max="16384" width="10.86328125" style="1"/>
  </cols>
  <sheetData>
    <row r="2" spans="1:12" ht="69.95" customHeight="1">
      <c r="B2" s="15" t="s">
        <v>225</v>
      </c>
      <c r="C2" s="15" t="s">
        <v>198</v>
      </c>
      <c r="D2" s="15" t="s">
        <v>200</v>
      </c>
      <c r="E2" s="15" t="s">
        <v>226</v>
      </c>
      <c r="F2" s="15" t="s">
        <v>227</v>
      </c>
      <c r="G2" s="15" t="s">
        <v>228</v>
      </c>
      <c r="H2" s="15" t="s">
        <v>212</v>
      </c>
      <c r="I2" s="15" t="s">
        <v>215</v>
      </c>
      <c r="J2" s="15" t="s">
        <v>217</v>
      </c>
      <c r="K2" s="15" t="s">
        <v>229</v>
      </c>
    </row>
    <row r="3" spans="1:12" ht="78.95" customHeight="1">
      <c r="A3" s="14" t="s">
        <v>96</v>
      </c>
      <c r="B3" s="16" t="s">
        <v>195</v>
      </c>
      <c r="C3" s="18" t="s">
        <v>199</v>
      </c>
      <c r="D3" s="22" t="s">
        <v>201</v>
      </c>
      <c r="E3" s="23" t="s">
        <v>203</v>
      </c>
      <c r="F3" s="24" t="s">
        <v>206</v>
      </c>
      <c r="G3" s="25" t="s">
        <v>209</v>
      </c>
      <c r="H3" s="31" t="s">
        <v>213</v>
      </c>
      <c r="I3" s="26" t="s">
        <v>216</v>
      </c>
      <c r="J3" s="30" t="s">
        <v>218</v>
      </c>
      <c r="K3" s="21" t="s">
        <v>220</v>
      </c>
      <c r="L3" s="17"/>
    </row>
    <row r="4" spans="1:12" ht="47.25">
      <c r="A4" s="20" t="s">
        <v>230</v>
      </c>
      <c r="B4" s="32">
        <v>10463</v>
      </c>
      <c r="C4" s="32"/>
      <c r="D4" s="32"/>
      <c r="E4" s="32">
        <v>596</v>
      </c>
      <c r="F4" s="32">
        <v>375868</v>
      </c>
      <c r="G4" s="32">
        <v>1889</v>
      </c>
      <c r="H4" s="32">
        <v>7951</v>
      </c>
      <c r="I4" s="32"/>
      <c r="J4" s="32"/>
      <c r="K4" s="32">
        <v>29990</v>
      </c>
    </row>
    <row r="5" spans="1:12"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2" ht="15.75">
      <c r="A6" s="20" t="s">
        <v>231</v>
      </c>
      <c r="B6" s="32">
        <v>151369</v>
      </c>
      <c r="C6" s="32">
        <v>43856</v>
      </c>
      <c r="D6" s="32"/>
      <c r="E6" s="32">
        <v>139660</v>
      </c>
      <c r="F6" s="32">
        <v>63691</v>
      </c>
      <c r="G6" s="32">
        <v>109576</v>
      </c>
      <c r="H6" s="32">
        <v>207930</v>
      </c>
      <c r="I6" s="32">
        <v>107512</v>
      </c>
      <c r="J6" s="32"/>
      <c r="K6" s="32">
        <v>311210</v>
      </c>
    </row>
    <row r="9" spans="1:12" ht="47.25">
      <c r="A9" s="20" t="s">
        <v>232</v>
      </c>
      <c r="B9" s="34">
        <f>(B4/B6)*100000</f>
        <v>6912.247553990579</v>
      </c>
      <c r="C9" s="34"/>
      <c r="D9" s="34"/>
      <c r="E9" s="34">
        <f t="shared" ref="E9:K9" si="0">(E4/E6)*100000</f>
        <v>426.75068022339968</v>
      </c>
      <c r="F9" s="34">
        <f t="shared" si="0"/>
        <v>590143.03433766158</v>
      </c>
      <c r="G9" s="34">
        <f t="shared" si="0"/>
        <v>1723.9176461998979</v>
      </c>
      <c r="H9" s="34">
        <f t="shared" si="0"/>
        <v>3823.8830375607181</v>
      </c>
      <c r="I9" s="34"/>
      <c r="J9" s="34"/>
      <c r="K9" s="34">
        <f t="shared" si="0"/>
        <v>9636.5798014202628</v>
      </c>
    </row>
    <row r="17" spans="1:1" ht="15.75">
      <c r="A17" s="19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9494-B01E-3145-812A-BDA692B3316B}">
  <sheetPr>
    <tabColor theme="5"/>
  </sheetPr>
  <dimension ref="A1:B21"/>
  <sheetViews>
    <sheetView zoomScale="110" zoomScaleNormal="110" workbookViewId="0">
      <selection activeCell="N30" sqref="N30"/>
    </sheetView>
  </sheetViews>
  <sheetFormatPr defaultColWidth="10.86328125" defaultRowHeight="15.75"/>
  <cols>
    <col min="1" max="1" width="16" style="36" bestFit="1" customWidth="1"/>
    <col min="2" max="2" width="13" style="36" bestFit="1" customWidth="1"/>
    <col min="3" max="16384" width="10.86328125" style="36"/>
  </cols>
  <sheetData>
    <row r="1" spans="1:2">
      <c r="A1" s="35" t="s">
        <v>233</v>
      </c>
      <c r="B1" s="35" t="s">
        <v>234</v>
      </c>
    </row>
    <row r="2" spans="1:2">
      <c r="A2" s="36" t="s">
        <v>235</v>
      </c>
      <c r="B2" s="108" t="s">
        <v>236</v>
      </c>
    </row>
    <row r="3" spans="1:2">
      <c r="A3" s="36" t="s">
        <v>237</v>
      </c>
      <c r="B3" s="109" t="s">
        <v>238</v>
      </c>
    </row>
    <row r="4" spans="1:2">
      <c r="A4" s="36" t="s">
        <v>239</v>
      </c>
      <c r="B4" s="108" t="s">
        <v>236</v>
      </c>
    </row>
    <row r="5" spans="1:2">
      <c r="A5" s="36" t="s">
        <v>240</v>
      </c>
      <c r="B5" s="110" t="s">
        <v>241</v>
      </c>
    </row>
    <row r="6" spans="1:2">
      <c r="A6" s="36" t="s">
        <v>242</v>
      </c>
      <c r="B6" s="110" t="s">
        <v>241</v>
      </c>
    </row>
    <row r="7" spans="1:2">
      <c r="A7" s="36" t="s">
        <v>243</v>
      </c>
      <c r="B7" s="111" t="s">
        <v>244</v>
      </c>
    </row>
    <row r="8" spans="1:2">
      <c r="A8" s="36" t="s">
        <v>245</v>
      </c>
      <c r="B8" s="111" t="s">
        <v>244</v>
      </c>
    </row>
    <row r="9" spans="1:2">
      <c r="A9" s="36" t="s">
        <v>246</v>
      </c>
      <c r="B9" s="111" t="s">
        <v>244</v>
      </c>
    </row>
    <row r="10" spans="1:2">
      <c r="A10" s="36" t="s">
        <v>247</v>
      </c>
      <c r="B10" s="108" t="s">
        <v>236</v>
      </c>
    </row>
    <row r="11" spans="1:2">
      <c r="A11" s="36" t="s">
        <v>248</v>
      </c>
      <c r="B11" s="109" t="s">
        <v>238</v>
      </c>
    </row>
    <row r="12" spans="1:2">
      <c r="A12" s="36" t="s">
        <v>249</v>
      </c>
      <c r="B12" s="110" t="s">
        <v>241</v>
      </c>
    </row>
    <row r="13" spans="1:2">
      <c r="A13" s="36" t="s">
        <v>250</v>
      </c>
      <c r="B13" s="110" t="s">
        <v>241</v>
      </c>
    </row>
    <row r="14" spans="1:2">
      <c r="A14" s="36" t="s">
        <v>251</v>
      </c>
      <c r="B14" s="109" t="s">
        <v>238</v>
      </c>
    </row>
    <row r="15" spans="1:2">
      <c r="A15" s="36" t="s">
        <v>252</v>
      </c>
      <c r="B15" s="112" t="s">
        <v>253</v>
      </c>
    </row>
    <row r="16" spans="1:2">
      <c r="A16" s="36" t="s">
        <v>254</v>
      </c>
      <c r="B16" s="112" t="s">
        <v>253</v>
      </c>
    </row>
    <row r="17" spans="1:2">
      <c r="A17" s="36" t="s">
        <v>255</v>
      </c>
      <c r="B17" s="113" t="s">
        <v>256</v>
      </c>
    </row>
    <row r="18" spans="1:2">
      <c r="A18" s="36" t="s">
        <v>257</v>
      </c>
      <c r="B18" s="114" t="s">
        <v>258</v>
      </c>
    </row>
    <row r="19" spans="1:2">
      <c r="A19" s="36" t="s">
        <v>259</v>
      </c>
      <c r="B19" s="114" t="s">
        <v>258</v>
      </c>
    </row>
    <row r="20" spans="1:2">
      <c r="A20" s="36" t="s">
        <v>260</v>
      </c>
      <c r="B20" s="115" t="s">
        <v>261</v>
      </c>
    </row>
    <row r="21" spans="1:2">
      <c r="A21" s="36" t="s">
        <v>262</v>
      </c>
      <c r="B21" s="109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2B6A-C5D8-B04F-9067-12B4A35A27C4}">
  <sheetPr>
    <tabColor theme="5"/>
  </sheetPr>
  <dimension ref="A1:S17"/>
  <sheetViews>
    <sheetView zoomScale="110" zoomScaleNormal="11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defaultColWidth="10.86328125" defaultRowHeight="15.75"/>
  <cols>
    <col min="1" max="1" width="82.265625" style="116" customWidth="1"/>
    <col min="2" max="19" width="8.86328125" style="116" customWidth="1"/>
    <col min="20" max="16384" width="10.86328125" style="116"/>
  </cols>
  <sheetData>
    <row r="1" spans="1:19" ht="198" customHeight="1">
      <c r="D1" s="117" t="s">
        <v>263</v>
      </c>
      <c r="E1" s="117" t="s">
        <v>264</v>
      </c>
      <c r="F1" s="118" t="s">
        <v>265</v>
      </c>
      <c r="G1" s="118" t="s">
        <v>266</v>
      </c>
      <c r="H1" s="119" t="s">
        <v>267</v>
      </c>
      <c r="I1" s="119" t="s">
        <v>268</v>
      </c>
      <c r="J1" s="120" t="s">
        <v>269</v>
      </c>
      <c r="K1" s="120" t="s">
        <v>270</v>
      </c>
      <c r="L1" s="121" t="s">
        <v>271</v>
      </c>
      <c r="M1" s="121" t="s">
        <v>272</v>
      </c>
      <c r="N1" s="122" t="s">
        <v>273</v>
      </c>
      <c r="O1" s="122" t="s">
        <v>274</v>
      </c>
      <c r="P1" s="123" t="s">
        <v>275</v>
      </c>
      <c r="Q1" s="123" t="s">
        <v>276</v>
      </c>
      <c r="R1" s="124" t="s">
        <v>277</v>
      </c>
      <c r="S1" s="124" t="s">
        <v>278</v>
      </c>
    </row>
    <row r="2" spans="1:19" ht="87" customHeight="1">
      <c r="A2" s="43" t="s">
        <v>96</v>
      </c>
      <c r="B2" s="125" t="s">
        <v>279</v>
      </c>
      <c r="C2" s="125" t="s">
        <v>280</v>
      </c>
      <c r="D2" s="159" t="s">
        <v>236</v>
      </c>
      <c r="E2" s="160"/>
      <c r="F2" s="159" t="s">
        <v>238</v>
      </c>
      <c r="G2" s="160"/>
      <c r="H2" s="159" t="s">
        <v>241</v>
      </c>
      <c r="I2" s="160"/>
      <c r="J2" s="159" t="s">
        <v>244</v>
      </c>
      <c r="K2" s="160"/>
      <c r="L2" s="159" t="s">
        <v>253</v>
      </c>
      <c r="M2" s="160"/>
      <c r="N2" s="159" t="s">
        <v>256</v>
      </c>
      <c r="O2" s="160"/>
      <c r="P2" s="159" t="s">
        <v>258</v>
      </c>
      <c r="Q2" s="160"/>
      <c r="R2" s="161" t="s">
        <v>261</v>
      </c>
      <c r="S2" s="161"/>
    </row>
    <row r="3" spans="1:19">
      <c r="A3" s="126" t="s">
        <v>281</v>
      </c>
      <c r="B3" s="127">
        <v>204</v>
      </c>
      <c r="C3" s="128">
        <v>198</v>
      </c>
      <c r="D3" s="129">
        <f>B3*$D$11</f>
        <v>16.32</v>
      </c>
      <c r="E3" s="129">
        <f>C3*$D$11</f>
        <v>15.84</v>
      </c>
      <c r="F3" s="129">
        <f>B3*$F$11</f>
        <v>14.280000000000001</v>
      </c>
      <c r="G3" s="129">
        <f>C3*$F$11</f>
        <v>13.860000000000001</v>
      </c>
      <c r="H3" s="129">
        <f>B3*$H$11</f>
        <v>10.200000000000001</v>
      </c>
      <c r="I3" s="129">
        <f>C3*$H$11</f>
        <v>9.9</v>
      </c>
      <c r="J3" s="129">
        <f>B3*$J$11</f>
        <v>16.32</v>
      </c>
      <c r="K3" s="129">
        <f>C3*$J$11</f>
        <v>15.84</v>
      </c>
      <c r="L3" s="129">
        <f>B3*$L$11</f>
        <v>10.200000000000001</v>
      </c>
      <c r="M3" s="129">
        <f>C3*$L$11</f>
        <v>9.9</v>
      </c>
      <c r="N3" s="129">
        <f>B3*$N$11</f>
        <v>18.36</v>
      </c>
      <c r="O3" s="129">
        <f>C3*$N$11</f>
        <v>17.82</v>
      </c>
      <c r="P3" s="129">
        <f>B3*$P$11</f>
        <v>14.280000000000001</v>
      </c>
      <c r="Q3" s="129">
        <f>C3*$P$11</f>
        <v>13.860000000000001</v>
      </c>
      <c r="R3" s="129">
        <f>B3*$R$11</f>
        <v>8.16</v>
      </c>
      <c r="S3" s="129">
        <f>C3*$R$11</f>
        <v>7.92</v>
      </c>
    </row>
    <row r="4" spans="1:19">
      <c r="A4" s="126" t="s">
        <v>282</v>
      </c>
      <c r="B4" s="127">
        <v>86</v>
      </c>
      <c r="C4" s="128">
        <v>8</v>
      </c>
      <c r="D4" s="129">
        <f t="shared" ref="D4:E8" si="0">B4*$D$11</f>
        <v>6.88</v>
      </c>
      <c r="E4" s="129">
        <f t="shared" si="0"/>
        <v>0.64</v>
      </c>
      <c r="F4" s="129">
        <f t="shared" ref="F4:G8" si="1">B4*$F$11</f>
        <v>6.0200000000000005</v>
      </c>
      <c r="G4" s="129">
        <f t="shared" si="1"/>
        <v>0.56000000000000005</v>
      </c>
      <c r="H4" s="129">
        <f t="shared" ref="H4:I8" si="2">B4*$H$11</f>
        <v>4.3</v>
      </c>
      <c r="I4" s="129">
        <f t="shared" si="2"/>
        <v>0.4</v>
      </c>
      <c r="J4" s="129">
        <f t="shared" ref="J4:K8" si="3">B4*$J$11</f>
        <v>6.88</v>
      </c>
      <c r="K4" s="129">
        <f t="shared" si="3"/>
        <v>0.64</v>
      </c>
      <c r="L4" s="129">
        <f t="shared" ref="L4:M8" si="4">B4*$L$11</f>
        <v>4.3</v>
      </c>
      <c r="M4" s="129">
        <f t="shared" si="4"/>
        <v>0.4</v>
      </c>
      <c r="N4" s="129">
        <f t="shared" ref="N4:O8" si="5">B4*$N$11</f>
        <v>7.7399999999999993</v>
      </c>
      <c r="O4" s="129">
        <f t="shared" si="5"/>
        <v>0.72</v>
      </c>
      <c r="P4" s="129">
        <f t="shared" ref="P4:Q8" si="6">B4*$P$11</f>
        <v>6.0200000000000005</v>
      </c>
      <c r="Q4" s="129">
        <f t="shared" si="6"/>
        <v>0.56000000000000005</v>
      </c>
      <c r="R4" s="129">
        <f t="shared" ref="R4:S8" si="7">B4*$R$11</f>
        <v>3.44</v>
      </c>
      <c r="S4" s="129">
        <f t="shared" si="7"/>
        <v>0.32</v>
      </c>
    </row>
    <row r="5" spans="1:19">
      <c r="A5" s="126" t="s">
        <v>283</v>
      </c>
      <c r="B5" s="127">
        <v>6</v>
      </c>
      <c r="C5" s="128">
        <v>3</v>
      </c>
      <c r="D5" s="129">
        <f t="shared" si="0"/>
        <v>0.48</v>
      </c>
      <c r="E5" s="129">
        <f t="shared" si="0"/>
        <v>0.24</v>
      </c>
      <c r="F5" s="129">
        <f t="shared" si="1"/>
        <v>0.42000000000000004</v>
      </c>
      <c r="G5" s="129">
        <f t="shared" si="1"/>
        <v>0.21000000000000002</v>
      </c>
      <c r="H5" s="129">
        <f t="shared" si="2"/>
        <v>0.30000000000000004</v>
      </c>
      <c r="I5" s="129">
        <f t="shared" si="2"/>
        <v>0.15000000000000002</v>
      </c>
      <c r="J5" s="129">
        <f t="shared" si="3"/>
        <v>0.48</v>
      </c>
      <c r="K5" s="129">
        <f t="shared" si="3"/>
        <v>0.24</v>
      </c>
      <c r="L5" s="129">
        <f t="shared" si="4"/>
        <v>0.30000000000000004</v>
      </c>
      <c r="M5" s="129">
        <f t="shared" si="4"/>
        <v>0.15000000000000002</v>
      </c>
      <c r="N5" s="129">
        <f t="shared" si="5"/>
        <v>0.54</v>
      </c>
      <c r="O5" s="129">
        <f t="shared" si="5"/>
        <v>0.27</v>
      </c>
      <c r="P5" s="129">
        <f t="shared" si="6"/>
        <v>0.42000000000000004</v>
      </c>
      <c r="Q5" s="129">
        <f t="shared" si="6"/>
        <v>0.21000000000000002</v>
      </c>
      <c r="R5" s="129">
        <f t="shared" si="7"/>
        <v>0.24</v>
      </c>
      <c r="S5" s="129">
        <f t="shared" si="7"/>
        <v>0.12</v>
      </c>
    </row>
    <row r="6" spans="1:19">
      <c r="A6" s="126" t="s">
        <v>284</v>
      </c>
      <c r="B6" s="127">
        <v>51</v>
      </c>
      <c r="C6" s="128">
        <v>27</v>
      </c>
      <c r="D6" s="129">
        <f t="shared" si="0"/>
        <v>4.08</v>
      </c>
      <c r="E6" s="129">
        <f t="shared" si="0"/>
        <v>2.16</v>
      </c>
      <c r="F6" s="129">
        <f t="shared" si="1"/>
        <v>3.5700000000000003</v>
      </c>
      <c r="G6" s="129">
        <f t="shared" si="1"/>
        <v>1.8900000000000001</v>
      </c>
      <c r="H6" s="129">
        <f t="shared" si="2"/>
        <v>2.5500000000000003</v>
      </c>
      <c r="I6" s="129">
        <f t="shared" si="2"/>
        <v>1.35</v>
      </c>
      <c r="J6" s="129">
        <f t="shared" si="3"/>
        <v>4.08</v>
      </c>
      <c r="K6" s="129">
        <f t="shared" si="3"/>
        <v>2.16</v>
      </c>
      <c r="L6" s="129">
        <f t="shared" si="4"/>
        <v>2.5500000000000003</v>
      </c>
      <c r="M6" s="129">
        <f t="shared" si="4"/>
        <v>1.35</v>
      </c>
      <c r="N6" s="129">
        <f t="shared" si="5"/>
        <v>4.59</v>
      </c>
      <c r="O6" s="129">
        <f t="shared" si="5"/>
        <v>2.4299999999999997</v>
      </c>
      <c r="P6" s="129">
        <f t="shared" si="6"/>
        <v>3.5700000000000003</v>
      </c>
      <c r="Q6" s="129">
        <f t="shared" si="6"/>
        <v>1.8900000000000001</v>
      </c>
      <c r="R6" s="129">
        <f t="shared" si="7"/>
        <v>2.04</v>
      </c>
      <c r="S6" s="129">
        <f t="shared" si="7"/>
        <v>1.08</v>
      </c>
    </row>
    <row r="7" spans="1:19">
      <c r="A7" s="126" t="s">
        <v>285</v>
      </c>
      <c r="B7" s="127">
        <v>1</v>
      </c>
      <c r="C7" s="128">
        <v>17</v>
      </c>
      <c r="D7" s="129">
        <f t="shared" si="0"/>
        <v>0.08</v>
      </c>
      <c r="E7" s="129">
        <f t="shared" si="0"/>
        <v>1.36</v>
      </c>
      <c r="F7" s="129">
        <f t="shared" si="1"/>
        <v>7.0000000000000007E-2</v>
      </c>
      <c r="G7" s="129">
        <f t="shared" si="1"/>
        <v>1.1900000000000002</v>
      </c>
      <c r="H7" s="129">
        <f t="shared" si="2"/>
        <v>0.05</v>
      </c>
      <c r="I7" s="129">
        <f t="shared" si="2"/>
        <v>0.85000000000000009</v>
      </c>
      <c r="J7" s="129">
        <f t="shared" si="3"/>
        <v>0.08</v>
      </c>
      <c r="K7" s="129">
        <f t="shared" si="3"/>
        <v>1.36</v>
      </c>
      <c r="L7" s="129">
        <f t="shared" si="4"/>
        <v>0.05</v>
      </c>
      <c r="M7" s="129">
        <f t="shared" si="4"/>
        <v>0.85000000000000009</v>
      </c>
      <c r="N7" s="129">
        <f t="shared" si="5"/>
        <v>0.09</v>
      </c>
      <c r="O7" s="129">
        <f t="shared" si="5"/>
        <v>1.53</v>
      </c>
      <c r="P7" s="129">
        <f t="shared" si="6"/>
        <v>7.0000000000000007E-2</v>
      </c>
      <c r="Q7" s="129">
        <f t="shared" si="6"/>
        <v>1.1900000000000002</v>
      </c>
      <c r="R7" s="129">
        <f t="shared" si="7"/>
        <v>0.04</v>
      </c>
      <c r="S7" s="129">
        <f t="shared" si="7"/>
        <v>0.68</v>
      </c>
    </row>
    <row r="8" spans="1:19">
      <c r="A8" s="126" t="s">
        <v>286</v>
      </c>
      <c r="B8" s="127">
        <v>31</v>
      </c>
      <c r="C8" s="128">
        <v>22</v>
      </c>
      <c r="D8" s="129">
        <f t="shared" si="0"/>
        <v>2.48</v>
      </c>
      <c r="E8" s="129">
        <f t="shared" si="0"/>
        <v>1.76</v>
      </c>
      <c r="F8" s="129">
        <f t="shared" si="1"/>
        <v>2.1700000000000004</v>
      </c>
      <c r="G8" s="129">
        <f t="shared" si="1"/>
        <v>1.54</v>
      </c>
      <c r="H8" s="129">
        <f t="shared" si="2"/>
        <v>1.55</v>
      </c>
      <c r="I8" s="129">
        <f t="shared" si="2"/>
        <v>1.1000000000000001</v>
      </c>
      <c r="J8" s="129">
        <f t="shared" si="3"/>
        <v>2.48</v>
      </c>
      <c r="K8" s="129">
        <f t="shared" si="3"/>
        <v>1.76</v>
      </c>
      <c r="L8" s="129">
        <f t="shared" si="4"/>
        <v>1.55</v>
      </c>
      <c r="M8" s="129">
        <f t="shared" si="4"/>
        <v>1.1000000000000001</v>
      </c>
      <c r="N8" s="129">
        <f t="shared" si="5"/>
        <v>2.79</v>
      </c>
      <c r="O8" s="129">
        <f t="shared" si="5"/>
        <v>1.98</v>
      </c>
      <c r="P8" s="129">
        <f t="shared" si="6"/>
        <v>2.1700000000000004</v>
      </c>
      <c r="Q8" s="129">
        <f t="shared" si="6"/>
        <v>1.54</v>
      </c>
      <c r="R8" s="129">
        <f t="shared" si="7"/>
        <v>1.24</v>
      </c>
      <c r="S8" s="129">
        <f t="shared" si="7"/>
        <v>0.88</v>
      </c>
    </row>
    <row r="11" spans="1:19">
      <c r="A11" s="116" t="s">
        <v>287</v>
      </c>
      <c r="D11" s="162">
        <v>0.08</v>
      </c>
      <c r="E11" s="163"/>
      <c r="F11" s="162">
        <v>7.0000000000000007E-2</v>
      </c>
      <c r="G11" s="163"/>
      <c r="H11" s="162">
        <v>0.05</v>
      </c>
      <c r="I11" s="163"/>
      <c r="J11" s="162">
        <v>0.08</v>
      </c>
      <c r="K11" s="163"/>
      <c r="L11" s="162">
        <v>0.05</v>
      </c>
      <c r="M11" s="163"/>
      <c r="N11" s="162">
        <v>0.09</v>
      </c>
      <c r="O11" s="163"/>
      <c r="P11" s="162">
        <v>7.0000000000000007E-2</v>
      </c>
      <c r="Q11" s="163"/>
      <c r="R11" s="162">
        <v>0.04</v>
      </c>
      <c r="S11" s="163"/>
    </row>
    <row r="12" spans="1:19">
      <c r="A12" s="116" t="s">
        <v>288</v>
      </c>
      <c r="B12" s="158">
        <v>713013</v>
      </c>
      <c r="C12" s="158"/>
    </row>
    <row r="17" spans="1:3">
      <c r="A17" s="52" t="s">
        <v>289</v>
      </c>
      <c r="B17" s="52"/>
      <c r="C17" s="52"/>
    </row>
  </sheetData>
  <mergeCells count="17">
    <mergeCell ref="N2:O2"/>
    <mergeCell ref="B12:C12"/>
    <mergeCell ref="P2:Q2"/>
    <mergeCell ref="R2:S2"/>
    <mergeCell ref="D11:E11"/>
    <mergeCell ref="F11:G11"/>
    <mergeCell ref="H11:I11"/>
    <mergeCell ref="J11:K11"/>
    <mergeCell ref="L11:M11"/>
    <mergeCell ref="N11:O11"/>
    <mergeCell ref="P11:Q11"/>
    <mergeCell ref="R11:S11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F6AC-052F-034F-98F2-F7C1B99273CA}">
  <sheetPr>
    <tabColor theme="5"/>
  </sheetPr>
  <dimension ref="A1:BU22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3" sqref="T3:AK11"/>
    </sheetView>
  </sheetViews>
  <sheetFormatPr defaultColWidth="10.86328125" defaultRowHeight="15.75"/>
  <cols>
    <col min="1" max="1" width="82.265625" style="130" customWidth="1"/>
    <col min="2" max="73" width="8.86328125" style="130" customWidth="1"/>
    <col min="74" max="16384" width="10.86328125" style="130"/>
  </cols>
  <sheetData>
    <row r="1" spans="1:73" ht="198" customHeight="1">
      <c r="B1" s="117" t="s">
        <v>263</v>
      </c>
      <c r="C1" s="117" t="s">
        <v>264</v>
      </c>
      <c r="D1" s="117" t="s">
        <v>290</v>
      </c>
      <c r="E1" s="117" t="s">
        <v>291</v>
      </c>
      <c r="F1" s="117" t="s">
        <v>292</v>
      </c>
      <c r="G1" s="117" t="s">
        <v>293</v>
      </c>
      <c r="H1" s="117" t="s">
        <v>294</v>
      </c>
      <c r="I1" s="117" t="s">
        <v>295</v>
      </c>
      <c r="J1" s="117" t="s">
        <v>296</v>
      </c>
      <c r="K1" s="118" t="s">
        <v>265</v>
      </c>
      <c r="L1" s="118" t="s">
        <v>266</v>
      </c>
      <c r="M1" s="118" t="s">
        <v>290</v>
      </c>
      <c r="N1" s="118" t="s">
        <v>291</v>
      </c>
      <c r="O1" s="118" t="s">
        <v>292</v>
      </c>
      <c r="P1" s="118" t="s">
        <v>293</v>
      </c>
      <c r="Q1" s="118" t="s">
        <v>294</v>
      </c>
      <c r="R1" s="118" t="s">
        <v>295</v>
      </c>
      <c r="S1" s="118" t="s">
        <v>296</v>
      </c>
      <c r="T1" s="119" t="s">
        <v>297</v>
      </c>
      <c r="U1" s="119" t="s">
        <v>268</v>
      </c>
      <c r="V1" s="119" t="s">
        <v>290</v>
      </c>
      <c r="W1" s="119" t="s">
        <v>291</v>
      </c>
      <c r="X1" s="119" t="s">
        <v>292</v>
      </c>
      <c r="Y1" s="119" t="s">
        <v>293</v>
      </c>
      <c r="Z1" s="119" t="s">
        <v>294</v>
      </c>
      <c r="AA1" s="119" t="s">
        <v>295</v>
      </c>
      <c r="AB1" s="119" t="s">
        <v>296</v>
      </c>
      <c r="AC1" s="120" t="s">
        <v>269</v>
      </c>
      <c r="AD1" s="120" t="s">
        <v>270</v>
      </c>
      <c r="AE1" s="120" t="s">
        <v>290</v>
      </c>
      <c r="AF1" s="120" t="s">
        <v>291</v>
      </c>
      <c r="AG1" s="120" t="s">
        <v>292</v>
      </c>
      <c r="AH1" s="120" t="s">
        <v>293</v>
      </c>
      <c r="AI1" s="120" t="s">
        <v>294</v>
      </c>
      <c r="AJ1" s="120" t="s">
        <v>295</v>
      </c>
      <c r="AK1" s="120" t="s">
        <v>296</v>
      </c>
      <c r="AL1" s="121" t="s">
        <v>271</v>
      </c>
      <c r="AM1" s="121" t="s">
        <v>272</v>
      </c>
      <c r="AN1" s="121" t="s">
        <v>290</v>
      </c>
      <c r="AO1" s="121" t="s">
        <v>291</v>
      </c>
      <c r="AP1" s="121" t="s">
        <v>292</v>
      </c>
      <c r="AQ1" s="121" t="s">
        <v>293</v>
      </c>
      <c r="AR1" s="121" t="s">
        <v>294</v>
      </c>
      <c r="AS1" s="121" t="s">
        <v>295</v>
      </c>
      <c r="AT1" s="121" t="s">
        <v>296</v>
      </c>
      <c r="AU1" s="122" t="s">
        <v>273</v>
      </c>
      <c r="AV1" s="122" t="s">
        <v>274</v>
      </c>
      <c r="AW1" s="122" t="s">
        <v>290</v>
      </c>
      <c r="AX1" s="122" t="s">
        <v>291</v>
      </c>
      <c r="AY1" s="122" t="s">
        <v>292</v>
      </c>
      <c r="AZ1" s="122" t="s">
        <v>293</v>
      </c>
      <c r="BA1" s="122" t="s">
        <v>294</v>
      </c>
      <c r="BB1" s="122" t="s">
        <v>295</v>
      </c>
      <c r="BC1" s="122" t="s">
        <v>296</v>
      </c>
      <c r="BD1" s="123" t="s">
        <v>275</v>
      </c>
      <c r="BE1" s="123" t="s">
        <v>276</v>
      </c>
      <c r="BF1" s="123" t="s">
        <v>290</v>
      </c>
      <c r="BG1" s="123" t="s">
        <v>291</v>
      </c>
      <c r="BH1" s="123" t="s">
        <v>292</v>
      </c>
      <c r="BI1" s="123" t="s">
        <v>293</v>
      </c>
      <c r="BJ1" s="123" t="s">
        <v>294</v>
      </c>
      <c r="BK1" s="123" t="s">
        <v>295</v>
      </c>
      <c r="BL1" s="123" t="s">
        <v>296</v>
      </c>
      <c r="BM1" s="124" t="s">
        <v>277</v>
      </c>
      <c r="BN1" s="124" t="s">
        <v>278</v>
      </c>
      <c r="BO1" s="124" t="s">
        <v>290</v>
      </c>
      <c r="BP1" s="124" t="s">
        <v>291</v>
      </c>
      <c r="BQ1" s="124" t="s">
        <v>292</v>
      </c>
      <c r="BR1" s="124" t="s">
        <v>293</v>
      </c>
      <c r="BS1" s="124" t="s">
        <v>294</v>
      </c>
      <c r="BT1" s="124" t="s">
        <v>295</v>
      </c>
      <c r="BU1" s="124" t="s">
        <v>296</v>
      </c>
    </row>
    <row r="2" spans="1:73" ht="83.1" customHeight="1">
      <c r="A2" s="43" t="s">
        <v>96</v>
      </c>
      <c r="B2" s="159" t="s">
        <v>236</v>
      </c>
      <c r="C2" s="160"/>
      <c r="D2" s="160"/>
      <c r="E2" s="160"/>
      <c r="F2" s="160"/>
      <c r="G2" s="160"/>
      <c r="H2" s="160"/>
      <c r="I2" s="160"/>
      <c r="J2" s="164"/>
      <c r="K2" s="159" t="s">
        <v>238</v>
      </c>
      <c r="L2" s="160"/>
      <c r="M2" s="160"/>
      <c r="N2" s="160"/>
      <c r="O2" s="160"/>
      <c r="P2" s="160"/>
      <c r="Q2" s="160"/>
      <c r="R2" s="160"/>
      <c r="S2" s="164"/>
      <c r="T2" s="159" t="s">
        <v>241</v>
      </c>
      <c r="U2" s="160"/>
      <c r="V2" s="160"/>
      <c r="W2" s="160"/>
      <c r="X2" s="160"/>
      <c r="Y2" s="160"/>
      <c r="Z2" s="160"/>
      <c r="AA2" s="160"/>
      <c r="AB2" s="164"/>
      <c r="AC2" s="159" t="s">
        <v>244</v>
      </c>
      <c r="AD2" s="160"/>
      <c r="AE2" s="160"/>
      <c r="AF2" s="160"/>
      <c r="AG2" s="160"/>
      <c r="AH2" s="160"/>
      <c r="AI2" s="160"/>
      <c r="AJ2" s="160"/>
      <c r="AK2" s="164"/>
      <c r="AL2" s="159" t="s">
        <v>253</v>
      </c>
      <c r="AM2" s="160"/>
      <c r="AN2" s="160"/>
      <c r="AO2" s="160"/>
      <c r="AP2" s="160"/>
      <c r="AQ2" s="160"/>
      <c r="AR2" s="160"/>
      <c r="AS2" s="160"/>
      <c r="AT2" s="164"/>
      <c r="AU2" s="159" t="s">
        <v>256</v>
      </c>
      <c r="AV2" s="160"/>
      <c r="AW2" s="160"/>
      <c r="AX2" s="160"/>
      <c r="AY2" s="160"/>
      <c r="AZ2" s="160"/>
      <c r="BA2" s="160"/>
      <c r="BB2" s="160"/>
      <c r="BC2" s="164"/>
      <c r="BD2" s="159" t="s">
        <v>258</v>
      </c>
      <c r="BE2" s="160"/>
      <c r="BF2" s="160"/>
      <c r="BG2" s="160"/>
      <c r="BH2" s="160"/>
      <c r="BI2" s="160"/>
      <c r="BJ2" s="160"/>
      <c r="BK2" s="160"/>
      <c r="BL2" s="164"/>
      <c r="BM2" s="159" t="s">
        <v>261</v>
      </c>
      <c r="BN2" s="160"/>
      <c r="BO2" s="160"/>
      <c r="BP2" s="160"/>
      <c r="BQ2" s="160"/>
      <c r="BR2" s="160"/>
      <c r="BS2" s="160"/>
      <c r="BT2" s="160"/>
      <c r="BU2" s="164"/>
    </row>
    <row r="3" spans="1:73">
      <c r="A3" s="131" t="s">
        <v>298</v>
      </c>
      <c r="B3" s="129">
        <v>40</v>
      </c>
      <c r="C3" s="129">
        <v>43</v>
      </c>
      <c r="D3" s="132">
        <v>42</v>
      </c>
      <c r="E3" s="129">
        <v>40</v>
      </c>
      <c r="F3" s="129">
        <v>32</v>
      </c>
      <c r="G3" s="129">
        <v>42</v>
      </c>
      <c r="H3" s="129">
        <v>43</v>
      </c>
      <c r="I3" s="129">
        <v>48</v>
      </c>
      <c r="J3" s="129">
        <v>58</v>
      </c>
      <c r="K3" s="129">
        <v>40</v>
      </c>
      <c r="L3" s="129">
        <v>45</v>
      </c>
      <c r="M3" s="129">
        <v>43</v>
      </c>
      <c r="N3" s="129">
        <v>35</v>
      </c>
      <c r="O3" s="129">
        <v>36</v>
      </c>
      <c r="P3" s="129">
        <v>35</v>
      </c>
      <c r="Q3" s="129">
        <v>43</v>
      </c>
      <c r="R3" s="129">
        <v>55</v>
      </c>
      <c r="S3" s="129">
        <v>58</v>
      </c>
      <c r="T3" s="129">
        <v>40</v>
      </c>
      <c r="U3" s="129">
        <v>46</v>
      </c>
      <c r="V3" s="129">
        <v>43</v>
      </c>
      <c r="W3" s="129">
        <v>37</v>
      </c>
      <c r="X3" s="129">
        <v>40</v>
      </c>
      <c r="Y3" s="129">
        <v>41</v>
      </c>
      <c r="Z3" s="129">
        <v>46</v>
      </c>
      <c r="AA3" s="129">
        <v>49</v>
      </c>
      <c r="AB3" s="129">
        <v>53</v>
      </c>
      <c r="AC3" s="129">
        <v>40</v>
      </c>
      <c r="AD3" s="129">
        <v>49</v>
      </c>
      <c r="AE3" s="129">
        <v>45</v>
      </c>
      <c r="AF3" s="129">
        <v>37</v>
      </c>
      <c r="AG3" s="129">
        <v>39</v>
      </c>
      <c r="AH3" s="129">
        <v>44</v>
      </c>
      <c r="AI3" s="129">
        <v>48</v>
      </c>
      <c r="AJ3" s="129">
        <v>56</v>
      </c>
      <c r="AK3" s="129">
        <v>65</v>
      </c>
      <c r="AL3" s="129">
        <v>42</v>
      </c>
      <c r="AM3" s="129">
        <v>48</v>
      </c>
      <c r="AN3" s="129">
        <v>46</v>
      </c>
      <c r="AO3" s="129">
        <v>33</v>
      </c>
      <c r="AP3" s="129">
        <v>42</v>
      </c>
      <c r="AQ3" s="129">
        <v>45</v>
      </c>
      <c r="AR3" s="129">
        <v>60</v>
      </c>
      <c r="AS3" s="129">
        <v>64</v>
      </c>
      <c r="AT3" s="129">
        <v>66</v>
      </c>
      <c r="AU3" s="129">
        <v>39</v>
      </c>
      <c r="AV3" s="129">
        <v>45</v>
      </c>
      <c r="AW3" s="129">
        <v>42</v>
      </c>
      <c r="AX3" s="129">
        <v>38</v>
      </c>
      <c r="AY3" s="129">
        <v>40</v>
      </c>
      <c r="AZ3" s="129">
        <v>44</v>
      </c>
      <c r="BA3" s="129">
        <v>58</v>
      </c>
      <c r="BB3" s="129">
        <v>61</v>
      </c>
      <c r="BC3" s="129">
        <v>69</v>
      </c>
      <c r="BD3" s="129">
        <v>47</v>
      </c>
      <c r="BE3" s="129">
        <v>55</v>
      </c>
      <c r="BF3" s="129">
        <v>51</v>
      </c>
      <c r="BG3" s="129">
        <v>36</v>
      </c>
      <c r="BH3" s="129">
        <v>43</v>
      </c>
      <c r="BI3" s="129">
        <v>54</v>
      </c>
      <c r="BJ3" s="129">
        <v>67</v>
      </c>
      <c r="BK3" s="129">
        <v>64</v>
      </c>
      <c r="BL3" s="129">
        <v>68</v>
      </c>
      <c r="BM3" s="129">
        <v>47</v>
      </c>
      <c r="BN3" s="129">
        <v>57</v>
      </c>
      <c r="BO3" s="129">
        <v>47</v>
      </c>
      <c r="BP3" s="129">
        <v>40</v>
      </c>
      <c r="BQ3" s="129">
        <v>49</v>
      </c>
      <c r="BR3" s="129">
        <v>55</v>
      </c>
      <c r="BS3" s="129">
        <v>60</v>
      </c>
      <c r="BT3" s="129">
        <v>72</v>
      </c>
      <c r="BU3" s="129">
        <v>66</v>
      </c>
    </row>
    <row r="4" spans="1:73">
      <c r="A4" s="131" t="s">
        <v>299</v>
      </c>
      <c r="B4" s="129">
        <v>60</v>
      </c>
      <c r="C4" s="129">
        <v>57</v>
      </c>
      <c r="D4" s="132">
        <v>58</v>
      </c>
      <c r="E4" s="129">
        <v>60</v>
      </c>
      <c r="F4" s="129">
        <v>68</v>
      </c>
      <c r="G4" s="129">
        <v>58</v>
      </c>
      <c r="H4" s="129">
        <v>57</v>
      </c>
      <c r="I4" s="129">
        <v>52</v>
      </c>
      <c r="J4" s="129">
        <v>42</v>
      </c>
      <c r="K4" s="129">
        <v>60</v>
      </c>
      <c r="L4" s="129">
        <v>55</v>
      </c>
      <c r="M4" s="129">
        <v>57</v>
      </c>
      <c r="N4" s="129">
        <v>65</v>
      </c>
      <c r="O4" s="129">
        <v>64</v>
      </c>
      <c r="P4" s="129">
        <v>65</v>
      </c>
      <c r="Q4" s="129">
        <v>57</v>
      </c>
      <c r="R4" s="129">
        <v>45</v>
      </c>
      <c r="S4" s="129">
        <v>42</v>
      </c>
      <c r="T4" s="129">
        <v>60</v>
      </c>
      <c r="U4" s="129">
        <v>54</v>
      </c>
      <c r="V4" s="129">
        <v>57</v>
      </c>
      <c r="W4" s="129">
        <v>63</v>
      </c>
      <c r="X4" s="129">
        <v>60</v>
      </c>
      <c r="Y4" s="129">
        <v>59</v>
      </c>
      <c r="Z4" s="129">
        <v>54</v>
      </c>
      <c r="AA4" s="129">
        <v>51</v>
      </c>
      <c r="AB4" s="129">
        <v>47</v>
      </c>
      <c r="AC4" s="129">
        <v>60</v>
      </c>
      <c r="AD4" s="129">
        <v>51</v>
      </c>
      <c r="AE4" s="129">
        <v>55</v>
      </c>
      <c r="AF4" s="129">
        <v>63</v>
      </c>
      <c r="AG4" s="129">
        <v>61</v>
      </c>
      <c r="AH4" s="129">
        <v>56</v>
      </c>
      <c r="AI4" s="129">
        <v>52</v>
      </c>
      <c r="AJ4" s="129">
        <v>44</v>
      </c>
      <c r="AK4" s="129">
        <v>35</v>
      </c>
      <c r="AL4" s="129">
        <v>58</v>
      </c>
      <c r="AM4" s="129">
        <v>52</v>
      </c>
      <c r="AN4" s="129">
        <v>54</v>
      </c>
      <c r="AO4" s="129">
        <v>67</v>
      </c>
      <c r="AP4" s="129">
        <v>58</v>
      </c>
      <c r="AQ4" s="129">
        <v>55</v>
      </c>
      <c r="AR4" s="129">
        <v>40</v>
      </c>
      <c r="AS4" s="129">
        <v>36</v>
      </c>
      <c r="AT4" s="129">
        <v>34</v>
      </c>
      <c r="AU4" s="129">
        <v>61</v>
      </c>
      <c r="AV4" s="129">
        <v>55</v>
      </c>
      <c r="AW4" s="129">
        <v>58</v>
      </c>
      <c r="AX4" s="129">
        <v>62</v>
      </c>
      <c r="AY4" s="129">
        <v>60</v>
      </c>
      <c r="AZ4" s="129">
        <v>56</v>
      </c>
      <c r="BA4" s="129">
        <v>42</v>
      </c>
      <c r="BB4" s="129">
        <v>39</v>
      </c>
      <c r="BC4" s="129">
        <v>31</v>
      </c>
      <c r="BD4" s="129">
        <v>53</v>
      </c>
      <c r="BE4" s="129">
        <v>45</v>
      </c>
      <c r="BF4" s="129">
        <v>49</v>
      </c>
      <c r="BG4" s="129">
        <v>64</v>
      </c>
      <c r="BH4" s="129">
        <v>57</v>
      </c>
      <c r="BI4" s="129">
        <v>46</v>
      </c>
      <c r="BJ4" s="129">
        <v>33</v>
      </c>
      <c r="BK4" s="129">
        <v>36</v>
      </c>
      <c r="BL4" s="129">
        <v>32</v>
      </c>
      <c r="BM4" s="129">
        <v>53</v>
      </c>
      <c r="BN4" s="129">
        <v>43</v>
      </c>
      <c r="BO4" s="129">
        <v>53</v>
      </c>
      <c r="BP4" s="129">
        <v>60</v>
      </c>
      <c r="BQ4" s="129">
        <v>51</v>
      </c>
      <c r="BR4" s="129">
        <v>45</v>
      </c>
      <c r="BS4" s="129">
        <v>40</v>
      </c>
      <c r="BT4" s="129">
        <v>28</v>
      </c>
      <c r="BU4" s="129">
        <v>34</v>
      </c>
    </row>
    <row r="5" spans="1:73">
      <c r="A5" s="131" t="s">
        <v>300</v>
      </c>
      <c r="B5" s="129">
        <v>1</v>
      </c>
      <c r="C5" s="129">
        <v>3</v>
      </c>
      <c r="D5" s="132">
        <v>2</v>
      </c>
      <c r="E5" s="129">
        <v>6</v>
      </c>
      <c r="F5" s="129">
        <v>4</v>
      </c>
      <c r="G5" s="129">
        <v>2</v>
      </c>
      <c r="H5" s="129">
        <v>1</v>
      </c>
      <c r="I5" s="129">
        <v>2</v>
      </c>
      <c r="J5" s="129">
        <v>5</v>
      </c>
      <c r="K5" s="129">
        <v>1</v>
      </c>
      <c r="L5" s="129">
        <v>4</v>
      </c>
      <c r="M5" s="129">
        <v>3</v>
      </c>
      <c r="N5" s="129">
        <v>5</v>
      </c>
      <c r="O5" s="129">
        <v>7</v>
      </c>
      <c r="P5" s="129">
        <v>2</v>
      </c>
      <c r="Q5" s="129">
        <v>3</v>
      </c>
      <c r="R5" s="129">
        <v>4</v>
      </c>
      <c r="S5" s="129">
        <v>7</v>
      </c>
      <c r="T5" s="129">
        <v>1</v>
      </c>
      <c r="U5" s="129">
        <v>4</v>
      </c>
      <c r="V5" s="129">
        <v>5</v>
      </c>
      <c r="W5" s="129">
        <v>7</v>
      </c>
      <c r="X5" s="129">
        <v>5</v>
      </c>
      <c r="Y5" s="129">
        <v>2</v>
      </c>
      <c r="Z5" s="129">
        <v>3</v>
      </c>
      <c r="AA5" s="129">
        <v>3</v>
      </c>
      <c r="AB5" s="129">
        <v>7</v>
      </c>
      <c r="AC5" s="129">
        <v>0</v>
      </c>
      <c r="AD5" s="129">
        <v>3</v>
      </c>
      <c r="AE5" s="129">
        <v>2</v>
      </c>
      <c r="AF5" s="129">
        <v>6</v>
      </c>
      <c r="AG5" s="129">
        <v>4</v>
      </c>
      <c r="AH5" s="129">
        <v>2</v>
      </c>
      <c r="AI5" s="129">
        <v>1</v>
      </c>
      <c r="AJ5" s="129">
        <v>1</v>
      </c>
      <c r="AK5" s="129">
        <v>5</v>
      </c>
      <c r="AL5" s="129">
        <v>1</v>
      </c>
      <c r="AM5" s="129">
        <v>3</v>
      </c>
      <c r="AN5" s="129">
        <v>2</v>
      </c>
      <c r="AO5" s="129">
        <v>6</v>
      </c>
      <c r="AP5" s="129">
        <v>2</v>
      </c>
      <c r="AQ5" s="129">
        <v>3</v>
      </c>
      <c r="AR5" s="129">
        <v>1</v>
      </c>
      <c r="AS5" s="129">
        <v>2</v>
      </c>
      <c r="AT5" s="129">
        <v>3</v>
      </c>
      <c r="AU5" s="129">
        <v>1</v>
      </c>
      <c r="AV5" s="129">
        <v>2</v>
      </c>
      <c r="AW5" s="129">
        <v>2</v>
      </c>
      <c r="AX5" s="129">
        <v>4</v>
      </c>
      <c r="AY5" s="129">
        <v>2</v>
      </c>
      <c r="AZ5" s="129">
        <v>2</v>
      </c>
      <c r="BA5" s="129">
        <v>1</v>
      </c>
      <c r="BB5" s="129">
        <v>1</v>
      </c>
      <c r="BC5" s="129">
        <v>2</v>
      </c>
      <c r="BD5" s="129">
        <v>1</v>
      </c>
      <c r="BE5" s="129">
        <v>2</v>
      </c>
      <c r="BF5" s="129">
        <v>1</v>
      </c>
      <c r="BG5" s="129">
        <v>4</v>
      </c>
      <c r="BH5" s="129">
        <v>2</v>
      </c>
      <c r="BI5" s="129">
        <v>1</v>
      </c>
      <c r="BJ5" s="129">
        <v>1</v>
      </c>
      <c r="BK5" s="129">
        <v>1</v>
      </c>
      <c r="BL5" s="129">
        <v>4</v>
      </c>
      <c r="BM5" s="129">
        <v>1</v>
      </c>
      <c r="BN5" s="129">
        <v>2</v>
      </c>
      <c r="BO5" s="129">
        <v>2</v>
      </c>
      <c r="BP5" s="129">
        <v>7</v>
      </c>
      <c r="BQ5" s="129">
        <v>1</v>
      </c>
      <c r="BR5" s="129">
        <v>2</v>
      </c>
      <c r="BS5" s="129">
        <v>1</v>
      </c>
      <c r="BT5" s="129">
        <v>1</v>
      </c>
      <c r="BU5" s="129">
        <v>2</v>
      </c>
    </row>
    <row r="6" spans="1:73">
      <c r="A6" s="131" t="s">
        <v>301</v>
      </c>
      <c r="B6" s="129">
        <v>50</v>
      </c>
      <c r="C6" s="129">
        <v>64</v>
      </c>
      <c r="D6" s="132">
        <v>57</v>
      </c>
      <c r="E6" s="129">
        <v>70</v>
      </c>
      <c r="F6" s="129">
        <v>67</v>
      </c>
      <c r="G6" s="129">
        <v>69</v>
      </c>
      <c r="H6" s="129">
        <v>61</v>
      </c>
      <c r="I6" s="129">
        <v>63</v>
      </c>
      <c r="J6" s="129">
        <v>56</v>
      </c>
      <c r="K6" s="129">
        <v>50</v>
      </c>
      <c r="L6" s="129">
        <v>67</v>
      </c>
      <c r="M6" s="129">
        <v>59</v>
      </c>
      <c r="N6" s="129">
        <v>68</v>
      </c>
      <c r="O6" s="129">
        <v>73</v>
      </c>
      <c r="P6" s="129">
        <v>74</v>
      </c>
      <c r="Q6" s="129">
        <v>65</v>
      </c>
      <c r="R6" s="129">
        <v>62</v>
      </c>
      <c r="S6" s="129">
        <v>62</v>
      </c>
      <c r="T6" s="129">
        <v>49</v>
      </c>
      <c r="U6" s="129">
        <v>63</v>
      </c>
      <c r="V6" s="129">
        <v>57</v>
      </c>
      <c r="W6" s="129">
        <v>69</v>
      </c>
      <c r="X6" s="129">
        <v>66</v>
      </c>
      <c r="Y6" s="129">
        <v>66</v>
      </c>
      <c r="Z6" s="129">
        <v>61</v>
      </c>
      <c r="AA6" s="129">
        <v>60</v>
      </c>
      <c r="AB6" s="129">
        <v>62</v>
      </c>
      <c r="AC6" s="129">
        <v>43</v>
      </c>
      <c r="AD6" s="129">
        <v>59</v>
      </c>
      <c r="AE6" s="129">
        <v>52</v>
      </c>
      <c r="AF6" s="129">
        <v>66</v>
      </c>
      <c r="AG6" s="129">
        <v>65</v>
      </c>
      <c r="AH6" s="129">
        <v>62</v>
      </c>
      <c r="AI6" s="129">
        <v>56</v>
      </c>
      <c r="AJ6" s="129">
        <v>54</v>
      </c>
      <c r="AK6" s="129">
        <v>52</v>
      </c>
      <c r="AL6" s="129">
        <v>38</v>
      </c>
      <c r="AM6" s="129">
        <v>51</v>
      </c>
      <c r="AN6" s="129">
        <v>45</v>
      </c>
      <c r="AO6" s="129">
        <v>63</v>
      </c>
      <c r="AP6" s="129">
        <v>57</v>
      </c>
      <c r="AQ6" s="129">
        <v>47</v>
      </c>
      <c r="AR6" s="129">
        <v>42</v>
      </c>
      <c r="AS6" s="129">
        <v>44</v>
      </c>
      <c r="AT6" s="129">
        <v>44</v>
      </c>
      <c r="AU6" s="129">
        <v>48</v>
      </c>
      <c r="AV6" s="129">
        <v>59</v>
      </c>
      <c r="AW6" s="129">
        <v>54</v>
      </c>
      <c r="AX6" s="129">
        <v>67</v>
      </c>
      <c r="AY6" s="129">
        <v>68</v>
      </c>
      <c r="AZ6" s="129">
        <v>50</v>
      </c>
      <c r="BA6" s="129">
        <v>42</v>
      </c>
      <c r="BB6" s="129">
        <v>47</v>
      </c>
      <c r="BC6" s="129">
        <v>42</v>
      </c>
      <c r="BD6" s="129">
        <v>36</v>
      </c>
      <c r="BE6" s="129">
        <v>47</v>
      </c>
      <c r="BF6" s="129">
        <v>42</v>
      </c>
      <c r="BG6" s="129">
        <v>60</v>
      </c>
      <c r="BH6" s="129">
        <v>54</v>
      </c>
      <c r="BI6" s="129">
        <v>42</v>
      </c>
      <c r="BJ6" s="129">
        <v>39</v>
      </c>
      <c r="BK6" s="129">
        <v>39</v>
      </c>
      <c r="BL6" s="129">
        <v>46</v>
      </c>
      <c r="BM6" s="129">
        <v>34</v>
      </c>
      <c r="BN6" s="129">
        <v>46</v>
      </c>
      <c r="BO6" s="129">
        <v>41</v>
      </c>
      <c r="BP6" s="129">
        <v>58</v>
      </c>
      <c r="BQ6" s="129">
        <v>52</v>
      </c>
      <c r="BR6" s="129">
        <v>47</v>
      </c>
      <c r="BS6" s="129">
        <v>36</v>
      </c>
      <c r="BT6" s="129">
        <v>36</v>
      </c>
      <c r="BU6" s="129">
        <v>51</v>
      </c>
    </row>
    <row r="7" spans="1:73">
      <c r="A7" s="131" t="s">
        <v>302</v>
      </c>
      <c r="B7" s="129">
        <v>38</v>
      </c>
      <c r="C7" s="129">
        <v>25</v>
      </c>
      <c r="D7" s="132">
        <v>31</v>
      </c>
      <c r="E7" s="129">
        <v>21</v>
      </c>
      <c r="F7" s="129">
        <v>21</v>
      </c>
      <c r="G7" s="129">
        <v>22</v>
      </c>
      <c r="H7" s="129">
        <v>28</v>
      </c>
      <c r="I7" s="129">
        <v>25</v>
      </c>
      <c r="J7" s="129">
        <v>31</v>
      </c>
      <c r="K7" s="129">
        <v>41</v>
      </c>
      <c r="L7" s="129">
        <v>21</v>
      </c>
      <c r="M7" s="129">
        <v>30</v>
      </c>
      <c r="N7" s="129">
        <v>21</v>
      </c>
      <c r="O7" s="129">
        <v>16</v>
      </c>
      <c r="P7" s="129">
        <v>19</v>
      </c>
      <c r="Q7" s="129">
        <v>24</v>
      </c>
      <c r="R7" s="129">
        <v>24</v>
      </c>
      <c r="S7" s="129">
        <v>23</v>
      </c>
      <c r="T7" s="129">
        <v>41</v>
      </c>
      <c r="U7" s="129">
        <v>24</v>
      </c>
      <c r="V7" s="129">
        <v>32</v>
      </c>
      <c r="W7" s="129">
        <v>15</v>
      </c>
      <c r="X7" s="129">
        <v>21</v>
      </c>
      <c r="Y7" s="129">
        <v>26</v>
      </c>
      <c r="Z7" s="129">
        <v>24</v>
      </c>
      <c r="AA7" s="129">
        <v>27</v>
      </c>
      <c r="AB7" s="129">
        <v>28</v>
      </c>
      <c r="AC7" s="129">
        <v>45</v>
      </c>
      <c r="AD7" s="129">
        <v>28</v>
      </c>
      <c r="AE7" s="129">
        <v>35</v>
      </c>
      <c r="AF7" s="129">
        <v>21</v>
      </c>
      <c r="AG7" s="129">
        <v>21</v>
      </c>
      <c r="AH7" s="129">
        <v>26</v>
      </c>
      <c r="AI7" s="129">
        <v>29</v>
      </c>
      <c r="AJ7" s="129">
        <v>34</v>
      </c>
      <c r="AK7" s="129">
        <v>33</v>
      </c>
      <c r="AL7" s="129">
        <v>43</v>
      </c>
      <c r="AM7" s="129">
        <v>28</v>
      </c>
      <c r="AN7" s="129">
        <v>35</v>
      </c>
      <c r="AO7" s="129">
        <v>20</v>
      </c>
      <c r="AP7" s="129">
        <v>23</v>
      </c>
      <c r="AQ7" s="129">
        <v>31</v>
      </c>
      <c r="AR7" s="129">
        <v>37</v>
      </c>
      <c r="AS7" s="129">
        <v>34</v>
      </c>
      <c r="AT7" s="129">
        <v>32</v>
      </c>
      <c r="AU7" s="129">
        <v>36</v>
      </c>
      <c r="AV7" s="129">
        <v>26</v>
      </c>
      <c r="AW7" s="129">
        <v>31</v>
      </c>
      <c r="AX7" s="129">
        <v>21</v>
      </c>
      <c r="AY7" s="129">
        <v>21</v>
      </c>
      <c r="AZ7" s="129">
        <v>31</v>
      </c>
      <c r="BA7" s="129">
        <v>34</v>
      </c>
      <c r="BB7" s="129">
        <v>38</v>
      </c>
      <c r="BC7" s="129">
        <v>41</v>
      </c>
      <c r="BD7" s="129">
        <v>43</v>
      </c>
      <c r="BE7" s="129">
        <v>31</v>
      </c>
      <c r="BF7" s="129">
        <v>37</v>
      </c>
      <c r="BG7" s="129">
        <v>22</v>
      </c>
      <c r="BH7" s="129">
        <v>30</v>
      </c>
      <c r="BI7" s="129">
        <v>30</v>
      </c>
      <c r="BJ7" s="129">
        <v>33</v>
      </c>
      <c r="BK7" s="129">
        <v>37</v>
      </c>
      <c r="BL7" s="129">
        <v>36</v>
      </c>
      <c r="BM7" s="129">
        <v>42</v>
      </c>
      <c r="BN7" s="129">
        <v>31</v>
      </c>
      <c r="BO7" s="129">
        <v>36</v>
      </c>
      <c r="BP7" s="129">
        <v>22</v>
      </c>
      <c r="BQ7" s="129">
        <v>28</v>
      </c>
      <c r="BR7" s="129">
        <v>30</v>
      </c>
      <c r="BS7" s="129">
        <v>35</v>
      </c>
      <c r="BT7" s="129">
        <v>36</v>
      </c>
      <c r="BU7" s="129">
        <v>31</v>
      </c>
    </row>
    <row r="8" spans="1:73">
      <c r="A8" s="131" t="s">
        <v>303</v>
      </c>
      <c r="B8" s="129">
        <v>12</v>
      </c>
      <c r="C8" s="129">
        <v>8</v>
      </c>
      <c r="D8" s="132">
        <v>10</v>
      </c>
      <c r="E8" s="129">
        <v>3</v>
      </c>
      <c r="F8" s="129">
        <v>7</v>
      </c>
      <c r="G8" s="129">
        <v>7</v>
      </c>
      <c r="H8" s="129">
        <v>10</v>
      </c>
      <c r="I8" s="129">
        <v>9</v>
      </c>
      <c r="J8" s="129">
        <v>8</v>
      </c>
      <c r="K8" s="129">
        <v>8</v>
      </c>
      <c r="L8" s="129">
        <v>7</v>
      </c>
      <c r="M8" s="129">
        <v>8</v>
      </c>
      <c r="N8" s="129">
        <v>6</v>
      </c>
      <c r="O8" s="129">
        <v>5</v>
      </c>
      <c r="P8" s="129">
        <v>5</v>
      </c>
      <c r="Q8" s="129">
        <v>8</v>
      </c>
      <c r="R8" s="129">
        <v>10</v>
      </c>
      <c r="S8" s="129">
        <v>8</v>
      </c>
      <c r="T8" s="129">
        <v>9</v>
      </c>
      <c r="U8" s="129">
        <v>8</v>
      </c>
      <c r="V8" s="129">
        <v>8</v>
      </c>
      <c r="W8" s="129">
        <v>9</v>
      </c>
      <c r="X8" s="129">
        <v>8</v>
      </c>
      <c r="Y8" s="129">
        <v>6</v>
      </c>
      <c r="Z8" s="129">
        <v>11</v>
      </c>
      <c r="AA8" s="129">
        <v>10</v>
      </c>
      <c r="AB8" s="129">
        <v>4</v>
      </c>
      <c r="AC8" s="129">
        <v>12</v>
      </c>
      <c r="AD8" s="129">
        <v>10</v>
      </c>
      <c r="AE8" s="129">
        <v>11</v>
      </c>
      <c r="AF8" s="129">
        <v>7</v>
      </c>
      <c r="AG8" s="129">
        <v>10</v>
      </c>
      <c r="AH8" s="129">
        <v>10</v>
      </c>
      <c r="AI8" s="129">
        <v>14</v>
      </c>
      <c r="AJ8" s="129">
        <v>11</v>
      </c>
      <c r="AK8" s="129">
        <v>9</v>
      </c>
      <c r="AL8" s="129">
        <v>18</v>
      </c>
      <c r="AM8" s="129">
        <v>18</v>
      </c>
      <c r="AN8" s="129">
        <v>18</v>
      </c>
      <c r="AO8" s="129">
        <v>11</v>
      </c>
      <c r="AP8" s="129">
        <v>17</v>
      </c>
      <c r="AQ8" s="129">
        <v>19</v>
      </c>
      <c r="AR8" s="129">
        <v>21</v>
      </c>
      <c r="AS8" s="129">
        <v>21</v>
      </c>
      <c r="AT8" s="129">
        <v>21</v>
      </c>
      <c r="AU8" s="129">
        <v>14</v>
      </c>
      <c r="AV8" s="129">
        <v>12</v>
      </c>
      <c r="AW8" s="129">
        <v>13</v>
      </c>
      <c r="AX8" s="129">
        <v>8</v>
      </c>
      <c r="AY8" s="129">
        <v>10</v>
      </c>
      <c r="AZ8" s="129">
        <v>17</v>
      </c>
      <c r="BA8" s="129">
        <v>23</v>
      </c>
      <c r="BB8" s="129">
        <v>15</v>
      </c>
      <c r="BC8" s="129">
        <v>14</v>
      </c>
      <c r="BD8" s="129">
        <v>20</v>
      </c>
      <c r="BE8" s="129">
        <v>20</v>
      </c>
      <c r="BF8" s="129">
        <v>20</v>
      </c>
      <c r="BG8" s="129">
        <v>14</v>
      </c>
      <c r="BH8" s="129">
        <v>14</v>
      </c>
      <c r="BI8" s="129">
        <v>26</v>
      </c>
      <c r="BJ8" s="129">
        <v>28</v>
      </c>
      <c r="BK8" s="129">
        <v>23</v>
      </c>
      <c r="BL8" s="129">
        <v>14</v>
      </c>
      <c r="BM8" s="129">
        <v>23</v>
      </c>
      <c r="BN8" s="129">
        <v>21</v>
      </c>
      <c r="BO8" s="129">
        <v>21</v>
      </c>
      <c r="BP8" s="129">
        <v>14</v>
      </c>
      <c r="BQ8" s="129">
        <v>19</v>
      </c>
      <c r="BR8" s="129">
        <v>21</v>
      </c>
      <c r="BS8" s="129">
        <v>28</v>
      </c>
      <c r="BT8" s="129">
        <v>26</v>
      </c>
      <c r="BU8" s="129">
        <v>16</v>
      </c>
    </row>
    <row r="9" spans="1:73">
      <c r="A9" s="131" t="s">
        <v>304</v>
      </c>
      <c r="B9" s="129">
        <v>14</v>
      </c>
      <c r="C9" s="129">
        <v>8</v>
      </c>
      <c r="D9" s="132">
        <v>11</v>
      </c>
      <c r="E9" s="129">
        <v>3</v>
      </c>
      <c r="F9" s="129">
        <v>2</v>
      </c>
      <c r="G9" s="129">
        <v>2</v>
      </c>
      <c r="H9" s="129">
        <v>7</v>
      </c>
      <c r="I9" s="129">
        <v>13</v>
      </c>
      <c r="J9" s="129">
        <v>24</v>
      </c>
      <c r="K9" s="129">
        <v>14</v>
      </c>
      <c r="L9" s="129">
        <v>7</v>
      </c>
      <c r="M9" s="129">
        <v>10</v>
      </c>
      <c r="N9" s="129">
        <v>0</v>
      </c>
      <c r="O9" s="129">
        <v>5</v>
      </c>
      <c r="P9" s="129">
        <v>5</v>
      </c>
      <c r="Q9" s="129">
        <v>4</v>
      </c>
      <c r="R9" s="129">
        <v>6</v>
      </c>
      <c r="S9" s="129">
        <v>17</v>
      </c>
      <c r="T9" s="129">
        <v>17</v>
      </c>
      <c r="U9" s="129">
        <v>8</v>
      </c>
      <c r="V9" s="129">
        <v>12</v>
      </c>
      <c r="W9" s="129">
        <v>2</v>
      </c>
      <c r="X9" s="129">
        <v>6</v>
      </c>
      <c r="Y9" s="129">
        <v>4</v>
      </c>
      <c r="Z9" s="129">
        <v>4</v>
      </c>
      <c r="AA9" s="129">
        <v>13</v>
      </c>
      <c r="AB9" s="129">
        <v>14</v>
      </c>
      <c r="AC9" s="129">
        <v>13</v>
      </c>
      <c r="AD9" s="129">
        <v>9</v>
      </c>
      <c r="AE9" s="129">
        <v>10</v>
      </c>
      <c r="AF9" s="129">
        <v>1</v>
      </c>
      <c r="AG9" s="129">
        <v>4</v>
      </c>
      <c r="AH9" s="129">
        <v>4</v>
      </c>
      <c r="AI9" s="129">
        <v>6</v>
      </c>
      <c r="AJ9" s="129">
        <v>13</v>
      </c>
      <c r="AK9" s="129">
        <v>25</v>
      </c>
      <c r="AL9" s="129">
        <v>13</v>
      </c>
      <c r="AM9" s="129">
        <v>8</v>
      </c>
      <c r="AN9" s="129">
        <v>10</v>
      </c>
      <c r="AO9" s="129">
        <v>3</v>
      </c>
      <c r="AP9" s="129">
        <v>4</v>
      </c>
      <c r="AQ9" s="129">
        <v>6</v>
      </c>
      <c r="AR9" s="129">
        <v>9</v>
      </c>
      <c r="AS9" s="129">
        <v>18</v>
      </c>
      <c r="AT9" s="129">
        <v>24</v>
      </c>
      <c r="AU9" s="129">
        <v>12</v>
      </c>
      <c r="AV9" s="129">
        <v>7</v>
      </c>
      <c r="AW9" s="129">
        <v>9</v>
      </c>
      <c r="AX9" s="129">
        <v>2</v>
      </c>
      <c r="AY9" s="129">
        <v>4</v>
      </c>
      <c r="AZ9" s="129">
        <v>3</v>
      </c>
      <c r="BA9" s="129">
        <v>14</v>
      </c>
      <c r="BB9" s="129">
        <v>15</v>
      </c>
      <c r="BC9" s="129">
        <v>32</v>
      </c>
      <c r="BD9" s="129">
        <v>19</v>
      </c>
      <c r="BE9" s="129">
        <v>13</v>
      </c>
      <c r="BF9" s="129">
        <v>16</v>
      </c>
      <c r="BG9" s="129">
        <v>1</v>
      </c>
      <c r="BH9" s="129">
        <v>7</v>
      </c>
      <c r="BI9" s="129">
        <v>11</v>
      </c>
      <c r="BJ9" s="129">
        <v>17</v>
      </c>
      <c r="BK9" s="129">
        <v>20</v>
      </c>
      <c r="BL9" s="129">
        <v>30</v>
      </c>
      <c r="BM9" s="129">
        <v>19</v>
      </c>
      <c r="BN9" s="129">
        <v>13</v>
      </c>
      <c r="BO9" s="129">
        <v>16</v>
      </c>
      <c r="BP9" s="129">
        <v>2</v>
      </c>
      <c r="BQ9" s="129">
        <v>4</v>
      </c>
      <c r="BR9" s="129">
        <v>8</v>
      </c>
      <c r="BS9" s="129">
        <v>14</v>
      </c>
      <c r="BT9" s="129">
        <v>23</v>
      </c>
      <c r="BU9" s="129">
        <v>38</v>
      </c>
    </row>
    <row r="10" spans="1:73">
      <c r="A10" s="131" t="s">
        <v>305</v>
      </c>
      <c r="B10" s="129">
        <v>86</v>
      </c>
      <c r="C10" s="129">
        <v>92</v>
      </c>
      <c r="D10" s="132">
        <v>89</v>
      </c>
      <c r="E10" s="129">
        <v>97</v>
      </c>
      <c r="F10" s="129">
        <v>98</v>
      </c>
      <c r="G10" s="129">
        <v>98</v>
      </c>
      <c r="H10" s="129">
        <v>93</v>
      </c>
      <c r="I10" s="129">
        <v>87</v>
      </c>
      <c r="J10" s="129">
        <v>76</v>
      </c>
      <c r="K10" s="129">
        <v>86</v>
      </c>
      <c r="L10" s="129">
        <v>93</v>
      </c>
      <c r="M10" s="129">
        <v>90</v>
      </c>
      <c r="N10" s="129">
        <v>100</v>
      </c>
      <c r="O10" s="129">
        <v>95</v>
      </c>
      <c r="P10" s="129">
        <v>95</v>
      </c>
      <c r="Q10" s="129">
        <v>96</v>
      </c>
      <c r="R10" s="129">
        <v>94</v>
      </c>
      <c r="S10" s="129">
        <v>83</v>
      </c>
      <c r="T10" s="129">
        <v>83</v>
      </c>
      <c r="U10" s="129">
        <v>92</v>
      </c>
      <c r="V10" s="129">
        <v>88</v>
      </c>
      <c r="W10" s="129">
        <v>98</v>
      </c>
      <c r="X10" s="129">
        <v>94</v>
      </c>
      <c r="Y10" s="129">
        <v>96</v>
      </c>
      <c r="Z10" s="129">
        <v>96</v>
      </c>
      <c r="AA10" s="129">
        <v>87</v>
      </c>
      <c r="AB10" s="129">
        <v>86</v>
      </c>
      <c r="AC10" s="129">
        <v>88</v>
      </c>
      <c r="AD10" s="129">
        <v>91</v>
      </c>
      <c r="AE10" s="129">
        <v>90</v>
      </c>
      <c r="AF10" s="129">
        <v>99</v>
      </c>
      <c r="AG10" s="129">
        <v>96</v>
      </c>
      <c r="AH10" s="129">
        <v>96</v>
      </c>
      <c r="AI10" s="129">
        <v>94</v>
      </c>
      <c r="AJ10" s="129">
        <v>87</v>
      </c>
      <c r="AK10" s="129">
        <v>75</v>
      </c>
      <c r="AL10" s="129">
        <v>87</v>
      </c>
      <c r="AM10" s="129">
        <v>92</v>
      </c>
      <c r="AN10" s="129">
        <v>90</v>
      </c>
      <c r="AO10" s="129">
        <v>97</v>
      </c>
      <c r="AP10" s="129">
        <v>96</v>
      </c>
      <c r="AQ10" s="129">
        <v>94</v>
      </c>
      <c r="AR10" s="129">
        <v>91</v>
      </c>
      <c r="AS10" s="129">
        <v>82</v>
      </c>
      <c r="AT10" s="129">
        <v>76</v>
      </c>
      <c r="AU10" s="129">
        <v>88</v>
      </c>
      <c r="AV10" s="129">
        <v>93</v>
      </c>
      <c r="AW10" s="129">
        <v>91</v>
      </c>
      <c r="AX10" s="129">
        <v>98</v>
      </c>
      <c r="AY10" s="129">
        <v>96</v>
      </c>
      <c r="AZ10" s="129">
        <v>97</v>
      </c>
      <c r="BA10" s="129">
        <v>86</v>
      </c>
      <c r="BB10" s="129">
        <v>85</v>
      </c>
      <c r="BC10" s="129">
        <v>68</v>
      </c>
      <c r="BD10" s="129">
        <v>81</v>
      </c>
      <c r="BE10" s="129">
        <v>87</v>
      </c>
      <c r="BF10" s="129">
        <v>84</v>
      </c>
      <c r="BG10" s="129">
        <v>99</v>
      </c>
      <c r="BH10" s="129">
        <v>93</v>
      </c>
      <c r="BI10" s="129">
        <v>89</v>
      </c>
      <c r="BJ10" s="129">
        <v>83</v>
      </c>
      <c r="BK10" s="129">
        <v>80</v>
      </c>
      <c r="BL10" s="129">
        <v>70</v>
      </c>
      <c r="BM10" s="129">
        <v>81</v>
      </c>
      <c r="BN10" s="129">
        <v>87</v>
      </c>
      <c r="BO10" s="129">
        <v>84</v>
      </c>
      <c r="BP10" s="129">
        <v>98</v>
      </c>
      <c r="BQ10" s="129">
        <v>96</v>
      </c>
      <c r="BR10" s="129">
        <v>92</v>
      </c>
      <c r="BS10" s="129">
        <v>86</v>
      </c>
      <c r="BT10" s="129">
        <v>77</v>
      </c>
      <c r="BU10" s="129">
        <v>62</v>
      </c>
    </row>
    <row r="11" spans="1:73">
      <c r="A11" s="131" t="s">
        <v>306</v>
      </c>
      <c r="B11" s="129">
        <v>17</v>
      </c>
      <c r="C11" s="129">
        <v>20</v>
      </c>
      <c r="D11" s="132">
        <v>19</v>
      </c>
      <c r="E11" s="129">
        <v>40</v>
      </c>
      <c r="F11" s="129">
        <v>31</v>
      </c>
      <c r="G11" s="129">
        <v>21</v>
      </c>
      <c r="H11" s="129">
        <v>12</v>
      </c>
      <c r="I11" s="129">
        <v>8</v>
      </c>
      <c r="J11" s="129">
        <v>9</v>
      </c>
      <c r="K11" s="129">
        <v>12</v>
      </c>
      <c r="L11" s="129">
        <v>20</v>
      </c>
      <c r="M11" s="129">
        <v>16</v>
      </c>
      <c r="N11" s="129">
        <v>46</v>
      </c>
      <c r="O11" s="129">
        <v>31</v>
      </c>
      <c r="P11" s="129">
        <v>18</v>
      </c>
      <c r="Q11" s="129">
        <v>16</v>
      </c>
      <c r="R11" s="129">
        <v>9</v>
      </c>
      <c r="S11" s="129">
        <v>10</v>
      </c>
      <c r="T11" s="129">
        <v>14</v>
      </c>
      <c r="U11" s="129">
        <v>19</v>
      </c>
      <c r="V11" s="129">
        <v>17</v>
      </c>
      <c r="W11" s="129">
        <v>42</v>
      </c>
      <c r="X11" s="129">
        <v>32</v>
      </c>
      <c r="Y11" s="129">
        <v>21</v>
      </c>
      <c r="Z11" s="129">
        <v>17</v>
      </c>
      <c r="AA11" s="129">
        <v>10</v>
      </c>
      <c r="AB11" s="129">
        <v>6</v>
      </c>
      <c r="AC11" s="129">
        <v>16</v>
      </c>
      <c r="AD11" s="129">
        <v>22</v>
      </c>
      <c r="AE11" s="129">
        <v>20</v>
      </c>
      <c r="AF11" s="129">
        <v>38</v>
      </c>
      <c r="AG11" s="129">
        <v>33</v>
      </c>
      <c r="AH11" s="129">
        <v>28</v>
      </c>
      <c r="AI11" s="129">
        <v>14</v>
      </c>
      <c r="AJ11" s="129">
        <v>14</v>
      </c>
      <c r="AK11" s="129">
        <v>12</v>
      </c>
      <c r="AL11" s="129">
        <v>24</v>
      </c>
      <c r="AM11" s="129">
        <v>26</v>
      </c>
      <c r="AN11" s="129">
        <v>25</v>
      </c>
      <c r="AO11" s="129">
        <v>41</v>
      </c>
      <c r="AP11" s="129">
        <v>30</v>
      </c>
      <c r="AQ11" s="129">
        <v>26</v>
      </c>
      <c r="AR11" s="129">
        <v>21</v>
      </c>
      <c r="AS11" s="129">
        <v>12</v>
      </c>
      <c r="AT11" s="129">
        <v>7</v>
      </c>
      <c r="AU11" s="129">
        <v>26</v>
      </c>
      <c r="AV11" s="129">
        <v>33</v>
      </c>
      <c r="AW11" s="129">
        <v>30</v>
      </c>
      <c r="AX11" s="129">
        <v>44</v>
      </c>
      <c r="AY11" s="129">
        <v>33</v>
      </c>
      <c r="AZ11" s="129">
        <v>30</v>
      </c>
      <c r="BA11" s="129">
        <v>24</v>
      </c>
      <c r="BB11" s="129">
        <v>14</v>
      </c>
      <c r="BC11" s="129">
        <v>10</v>
      </c>
      <c r="BD11" s="129">
        <v>27</v>
      </c>
      <c r="BE11" s="129">
        <v>29</v>
      </c>
      <c r="BF11" s="129">
        <v>28</v>
      </c>
      <c r="BG11" s="129">
        <v>39</v>
      </c>
      <c r="BH11" s="129">
        <v>37</v>
      </c>
      <c r="BI11" s="129">
        <v>30</v>
      </c>
      <c r="BJ11" s="129">
        <v>26</v>
      </c>
      <c r="BK11" s="129">
        <v>18</v>
      </c>
      <c r="BL11" s="129">
        <v>13</v>
      </c>
      <c r="BM11" s="129">
        <v>23</v>
      </c>
      <c r="BN11" s="129">
        <v>29</v>
      </c>
      <c r="BO11" s="129">
        <v>26</v>
      </c>
      <c r="BP11" s="129">
        <v>44</v>
      </c>
      <c r="BQ11" s="129">
        <v>37</v>
      </c>
      <c r="BR11" s="129">
        <v>30</v>
      </c>
      <c r="BS11" s="129">
        <v>25</v>
      </c>
      <c r="BT11" s="129">
        <v>16</v>
      </c>
      <c r="BU11" s="129">
        <v>16</v>
      </c>
    </row>
    <row r="15" spans="1:73">
      <c r="A15" s="52" t="s">
        <v>307</v>
      </c>
    </row>
    <row r="22" spans="1:1" ht="18">
      <c r="A22" s="133"/>
    </row>
  </sheetData>
  <mergeCells count="8">
    <mergeCell ref="BD2:BL2"/>
    <mergeCell ref="BM2:BU2"/>
    <mergeCell ref="B2:J2"/>
    <mergeCell ref="K2:S2"/>
    <mergeCell ref="T2:AB2"/>
    <mergeCell ref="AC2:AK2"/>
    <mergeCell ref="AL2:AT2"/>
    <mergeCell ref="AU2:B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EAB7-2025-5A47-B205-5F627366561E}">
  <sheetPr>
    <tabColor theme="9" tint="0.79998168889431442"/>
  </sheetPr>
  <dimension ref="A1:B21"/>
  <sheetViews>
    <sheetView zoomScale="120" zoomScaleNormal="120" workbookViewId="0">
      <selection activeCell="K30" sqref="K30"/>
    </sheetView>
  </sheetViews>
  <sheetFormatPr defaultColWidth="10.86328125" defaultRowHeight="15.75"/>
  <cols>
    <col min="1" max="1" width="16.73046875" style="36" bestFit="1" customWidth="1"/>
    <col min="2" max="2" width="18.73046875" style="36" bestFit="1" customWidth="1"/>
    <col min="3" max="16384" width="10.86328125" style="36"/>
  </cols>
  <sheetData>
    <row r="1" spans="1:2">
      <c r="A1" s="35" t="s">
        <v>308</v>
      </c>
      <c r="B1" s="35" t="s">
        <v>309</v>
      </c>
    </row>
    <row r="2" spans="1:2">
      <c r="A2" s="37" t="s">
        <v>310</v>
      </c>
      <c r="B2" s="134" t="s">
        <v>311</v>
      </c>
    </row>
    <row r="3" spans="1:2">
      <c r="A3" s="37" t="s">
        <v>312</v>
      </c>
      <c r="B3" s="135" t="s">
        <v>313</v>
      </c>
    </row>
    <row r="4" spans="1:2">
      <c r="A4" s="37" t="s">
        <v>314</v>
      </c>
      <c r="B4" s="135" t="s">
        <v>313</v>
      </c>
    </row>
    <row r="5" spans="1:2">
      <c r="A5" s="37" t="s">
        <v>315</v>
      </c>
      <c r="B5" s="135" t="s">
        <v>313</v>
      </c>
    </row>
    <row r="6" spans="1:2">
      <c r="A6" s="37" t="s">
        <v>316</v>
      </c>
      <c r="B6" s="136" t="s">
        <v>317</v>
      </c>
    </row>
    <row r="7" spans="1:2">
      <c r="A7" s="37" t="s">
        <v>318</v>
      </c>
      <c r="B7" s="136" t="s">
        <v>317</v>
      </c>
    </row>
    <row r="8" spans="1:2">
      <c r="A8" s="37" t="s">
        <v>319</v>
      </c>
      <c r="B8" s="136" t="s">
        <v>317</v>
      </c>
    </row>
    <row r="9" spans="1:2">
      <c r="A9" s="37" t="s">
        <v>320</v>
      </c>
      <c r="B9" s="136" t="s">
        <v>317</v>
      </c>
    </row>
    <row r="10" spans="1:2">
      <c r="A10" s="37" t="s">
        <v>321</v>
      </c>
      <c r="B10" s="136" t="s">
        <v>317</v>
      </c>
    </row>
    <row r="11" spans="1:2">
      <c r="A11" s="37" t="s">
        <v>322</v>
      </c>
      <c r="B11" s="136" t="s">
        <v>317</v>
      </c>
    </row>
    <row r="12" spans="1:2">
      <c r="A12" s="37" t="s">
        <v>323</v>
      </c>
      <c r="B12" s="136" t="s">
        <v>317</v>
      </c>
    </row>
    <row r="13" spans="1:2">
      <c r="A13" s="37" t="s">
        <v>324</v>
      </c>
      <c r="B13" s="136" t="s">
        <v>317</v>
      </c>
    </row>
    <row r="14" spans="1:2">
      <c r="A14" s="37" t="s">
        <v>325</v>
      </c>
      <c r="B14" s="137" t="s">
        <v>326</v>
      </c>
    </row>
    <row r="15" spans="1:2">
      <c r="A15" s="37" t="s">
        <v>327</v>
      </c>
      <c r="B15" s="137" t="s">
        <v>326</v>
      </c>
    </row>
    <row r="16" spans="1:2">
      <c r="A16" s="37" t="s">
        <v>328</v>
      </c>
      <c r="B16" s="138" t="s">
        <v>329</v>
      </c>
    </row>
    <row r="17" spans="1:2">
      <c r="A17" s="37" t="s">
        <v>330</v>
      </c>
      <c r="B17" s="138" t="s">
        <v>329</v>
      </c>
    </row>
    <row r="18" spans="1:2">
      <c r="A18" s="37" t="s">
        <v>331</v>
      </c>
      <c r="B18" s="139" t="s">
        <v>332</v>
      </c>
    </row>
    <row r="19" spans="1:2">
      <c r="A19" s="37" t="s">
        <v>333</v>
      </c>
      <c r="B19" s="39" t="s">
        <v>334</v>
      </c>
    </row>
    <row r="20" spans="1:2">
      <c r="A20" s="37" t="s">
        <v>335</v>
      </c>
      <c r="B20" s="139" t="s">
        <v>332</v>
      </c>
    </row>
    <row r="21" spans="1:2">
      <c r="A21" s="37" t="s">
        <v>336</v>
      </c>
      <c r="B21" s="39" t="s">
        <v>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05D9-901A-014C-A15C-3E60F9FF0592}">
  <sheetPr>
    <tabColor theme="9" tint="0.79998168889431442"/>
  </sheetPr>
  <dimension ref="A2:H15"/>
  <sheetViews>
    <sheetView tabSelected="1" zoomScale="130" zoomScaleNormal="130" workbookViewId="0">
      <selection activeCell="A15" sqref="A15"/>
    </sheetView>
  </sheetViews>
  <sheetFormatPr defaultColWidth="10.86328125" defaultRowHeight="15.75"/>
  <cols>
    <col min="1" max="1" width="24.73046875" style="36" customWidth="1"/>
    <col min="2" max="2" width="10.86328125" style="36"/>
    <col min="3" max="3" width="14.3984375" style="36" bestFit="1" customWidth="1"/>
    <col min="4" max="4" width="22.265625" style="36" bestFit="1" customWidth="1"/>
    <col min="5" max="16384" width="10.86328125" style="36"/>
  </cols>
  <sheetData>
    <row r="2" spans="1:8" ht="87" customHeight="1">
      <c r="B2" s="140" t="s">
        <v>310</v>
      </c>
      <c r="C2" s="141" t="s">
        <v>337</v>
      </c>
      <c r="D2" s="142" t="s">
        <v>338</v>
      </c>
      <c r="E2" s="143" t="s">
        <v>339</v>
      </c>
      <c r="F2" s="144" t="s">
        <v>340</v>
      </c>
      <c r="G2" s="145" t="s">
        <v>341</v>
      </c>
      <c r="H2" s="146" t="s">
        <v>342</v>
      </c>
    </row>
    <row r="3" spans="1:8" ht="86.1" customHeight="1">
      <c r="A3" s="43" t="s">
        <v>96</v>
      </c>
      <c r="B3" s="147" t="s">
        <v>311</v>
      </c>
      <c r="C3" s="147" t="s">
        <v>313</v>
      </c>
      <c r="D3" s="147" t="s">
        <v>317</v>
      </c>
      <c r="E3" s="147" t="s">
        <v>326</v>
      </c>
      <c r="F3" s="147" t="s">
        <v>329</v>
      </c>
      <c r="G3" s="147" t="s">
        <v>332</v>
      </c>
      <c r="H3" s="147" t="s">
        <v>334</v>
      </c>
    </row>
    <row r="4" spans="1:8">
      <c r="A4" s="37" t="s">
        <v>343</v>
      </c>
      <c r="B4" s="49">
        <v>16.852850539291218</v>
      </c>
      <c r="C4" s="49">
        <v>4.8846012944193431</v>
      </c>
      <c r="D4" s="49">
        <v>16.139444803098772</v>
      </c>
      <c r="E4" s="49">
        <v>8.0172102780635761</v>
      </c>
      <c r="F4" s="49">
        <v>8.4193982936686123</v>
      </c>
      <c r="G4" s="49">
        <v>16.47378608788765</v>
      </c>
      <c r="H4" s="49">
        <v>25.708112048318235</v>
      </c>
    </row>
    <row r="5" spans="1:8">
      <c r="A5" s="37" t="s">
        <v>344</v>
      </c>
      <c r="B5" s="49">
        <v>115.56240369799691</v>
      </c>
      <c r="C5" s="49">
        <v>73.269019416290149</v>
      </c>
      <c r="D5" s="49">
        <v>88.766946417043258</v>
      </c>
      <c r="E5" s="49">
        <v>74.827295928593387</v>
      </c>
      <c r="F5" s="49">
        <v>75.774584643017519</v>
      </c>
      <c r="G5" s="49">
        <v>177.09320044479222</v>
      </c>
      <c r="H5" s="49">
        <v>85.910652920962193</v>
      </c>
    </row>
    <row r="6" spans="1:8">
      <c r="A6" s="37" t="s">
        <v>345</v>
      </c>
      <c r="B6" s="49">
        <v>0</v>
      </c>
      <c r="C6" s="49">
        <v>0</v>
      </c>
      <c r="D6" s="49">
        <v>0</v>
      </c>
      <c r="E6" s="49">
        <v>0</v>
      </c>
      <c r="F6" s="49">
        <v>0</v>
      </c>
      <c r="G6" s="49">
        <v>2.0592232609859562</v>
      </c>
      <c r="H6" s="49">
        <v>1.3016765594085182</v>
      </c>
    </row>
    <row r="7" spans="1:8">
      <c r="A7" s="37" t="s">
        <v>346</v>
      </c>
      <c r="B7" s="49">
        <v>50.558551617873654</v>
      </c>
      <c r="C7" s="49">
        <v>12.211503236048358</v>
      </c>
      <c r="D7" s="49">
        <v>32.278889606197545</v>
      </c>
      <c r="E7" s="49">
        <v>33.4050428252649</v>
      </c>
      <c r="F7" s="49">
        <v>67.355186349348898</v>
      </c>
      <c r="G7" s="49">
        <v>78.250483917466326</v>
      </c>
      <c r="H7" s="49">
        <v>27.009788607726751</v>
      </c>
    </row>
    <row r="8" spans="1:8">
      <c r="A8" s="37" t="s">
        <v>347</v>
      </c>
      <c r="B8" s="49">
        <v>2.4075500770416025</v>
      </c>
      <c r="C8" s="49">
        <v>0</v>
      </c>
      <c r="D8" s="49">
        <v>0</v>
      </c>
      <c r="E8" s="49">
        <v>0</v>
      </c>
      <c r="F8" s="49">
        <v>0</v>
      </c>
      <c r="G8" s="49">
        <v>4.1184465219719124</v>
      </c>
      <c r="H8" s="49">
        <v>0.97625741955638867</v>
      </c>
    </row>
    <row r="9" spans="1:8">
      <c r="A9" s="37" t="s">
        <v>348</v>
      </c>
      <c r="B9" s="49">
        <v>7.2226502311248071</v>
      </c>
      <c r="C9" s="49">
        <v>4.8846012944193431</v>
      </c>
      <c r="D9" s="49">
        <v>4.0348612007746931</v>
      </c>
      <c r="E9" s="49">
        <v>0</v>
      </c>
      <c r="F9" s="49">
        <v>5.6129321957790754</v>
      </c>
      <c r="G9" s="49">
        <v>2.0592232609859562</v>
      </c>
      <c r="H9" s="49">
        <v>21.477663230240548</v>
      </c>
    </row>
    <row r="10" spans="1:8">
      <c r="A10" s="37" t="s">
        <v>349</v>
      </c>
      <c r="B10" s="49">
        <v>57.781201848998457</v>
      </c>
      <c r="C10" s="49">
        <v>29.307607766516057</v>
      </c>
      <c r="D10" s="49">
        <v>44.383473208521629</v>
      </c>
      <c r="E10" s="49">
        <v>26.724034260211923</v>
      </c>
      <c r="F10" s="49">
        <v>101.03277952402335</v>
      </c>
      <c r="G10" s="49">
        <v>102.96116304929781</v>
      </c>
      <c r="H10" s="49">
        <v>41.328230761220453</v>
      </c>
    </row>
    <row r="11" spans="1:8">
      <c r="A11" s="37" t="s">
        <v>350</v>
      </c>
      <c r="B11" s="49">
        <v>33.705701078582436</v>
      </c>
      <c r="C11" s="49">
        <v>15.874954206862865</v>
      </c>
      <c r="D11" s="49">
        <v>16.139444803098772</v>
      </c>
      <c r="E11" s="49">
        <v>17.370622269137748</v>
      </c>
      <c r="F11" s="49">
        <v>14.032330489447688</v>
      </c>
      <c r="G11" s="49">
        <v>47.362135002676993</v>
      </c>
      <c r="H11" s="49">
        <v>26.358950328022495</v>
      </c>
    </row>
    <row r="12" spans="1:8">
      <c r="A12" s="37" t="s">
        <v>351</v>
      </c>
      <c r="B12" s="49">
        <v>4.815100154083205</v>
      </c>
      <c r="C12" s="49">
        <v>4.8846012944193431</v>
      </c>
      <c r="D12" s="49">
        <v>0</v>
      </c>
      <c r="E12" s="49">
        <v>13.362017130105961</v>
      </c>
      <c r="F12" s="49">
        <v>5.6129321957790754</v>
      </c>
      <c r="G12" s="49">
        <v>20.592232609859561</v>
      </c>
      <c r="H12" s="49">
        <v>8.4608976361553676</v>
      </c>
    </row>
    <row r="15" spans="1:8">
      <c r="A15" s="52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F4C97533AB4D4AB0E3CF7046F02B9B" ma:contentTypeVersion="16" ma:contentTypeDescription="Create a new document." ma:contentTypeScope="" ma:versionID="cd3ec89b4fa8ac99d6316b2e27026dd1">
  <xsd:schema xmlns:xsd="http://www.w3.org/2001/XMLSchema" xmlns:xs="http://www.w3.org/2001/XMLSchema" xmlns:p="http://schemas.microsoft.com/office/2006/metadata/properties" xmlns:ns2="aec805b8-e1f0-47ef-9b62-e279cd33bd3b" xmlns:ns3="623b8ea9-3cd3-401a-a35a-6ba6e3f85b77" targetNamespace="http://schemas.microsoft.com/office/2006/metadata/properties" ma:root="true" ma:fieldsID="497fc33add14695dc9b4e6c3722c7d90" ns2:_="" ns3:_="">
    <xsd:import namespace="aec805b8-e1f0-47ef-9b62-e279cd33bd3b"/>
    <xsd:import namespace="623b8ea9-3cd3-401a-a35a-6ba6e3f85b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805b8-e1f0-47ef-9b62-e279cd33b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3a666fd-dd3b-4cce-96ec-2ee377191f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b8ea9-3cd3-401a-a35a-6ba6e3f85b7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2c5e6f-e139-42ed-b3a1-223f346af4aa}" ma:internalName="TaxCatchAll" ma:showField="CatchAllData" ma:web="623b8ea9-3cd3-401a-a35a-6ba6e3f85b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c805b8-e1f0-47ef-9b62-e279cd33bd3b">
      <Terms xmlns="http://schemas.microsoft.com/office/infopath/2007/PartnerControls"/>
    </lcf76f155ced4ddcb4097134ff3c332f>
    <TaxCatchAll xmlns="623b8ea9-3cd3-401a-a35a-6ba6e3f85b77" xsi:nil="true"/>
  </documentManagement>
</p:properties>
</file>

<file path=customXml/itemProps1.xml><?xml version="1.0" encoding="utf-8"?>
<ds:datastoreItem xmlns:ds="http://schemas.openxmlformats.org/officeDocument/2006/customXml" ds:itemID="{ADDD680D-6999-4ED0-B19D-4BCDB9388D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49A01-CB34-49EE-94A6-60078C44FB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805b8-e1f0-47ef-9b62-e279cd33bd3b"/>
    <ds:schemaRef ds:uri="623b8ea9-3cd3-401a-a35a-6ba6e3f85b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1FF801-A863-463E-9912-37F7E378BE07}">
  <ds:schemaRefs>
    <ds:schemaRef ds:uri="http://schemas.microsoft.com/office/2006/metadata/properties"/>
    <ds:schemaRef ds:uri="http://schemas.microsoft.com/office/infopath/2007/PartnerControls"/>
    <ds:schemaRef ds:uri="aec805b8-e1f0-47ef-9b62-e279cd33bd3b"/>
    <ds:schemaRef ds:uri="623b8ea9-3cd3-401a-a35a-6ba6e3f85b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BN_Legenda</vt:lpstr>
      <vt:lpstr>BN_2022_Causes of death</vt:lpstr>
      <vt:lpstr>BN_2024_Disease prevalence</vt:lpstr>
      <vt:lpstr>CO_Legenda</vt:lpstr>
      <vt:lpstr>CO_2012-2016 Causes of death</vt:lpstr>
      <vt:lpstr>CO_2014-2018 Causes of death</vt:lpstr>
      <vt:lpstr>TL_Legenda</vt:lpstr>
      <vt:lpstr>TL_2014-2024_Disease prev.</vt:lpstr>
      <vt:lpstr>OS_Legenda</vt:lpstr>
      <vt:lpstr>OS_2023_Cause of death</vt:lpstr>
      <vt:lpstr>OS_2024_Disease prevalence</vt:lpstr>
      <vt:lpstr>GT_Legenda</vt:lpstr>
      <vt:lpstr>GT_2021-2023_Disease prev.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Nehama</dc:creator>
  <cp:keywords/>
  <dc:description/>
  <cp:lastModifiedBy>Giorgio Cangioli</cp:lastModifiedBy>
  <cp:revision/>
  <dcterms:created xsi:type="dcterms:W3CDTF">2025-09-18T20:39:21Z</dcterms:created>
  <dcterms:modified xsi:type="dcterms:W3CDTF">2026-02-02T16:56:24Z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2025-04-06T09:43:42Z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68b89744-08dd-4b86-8321-f50592854de0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  <property fmtid="{D5CDD505-2E9C-101B-9397-08002B2CF9AE}" pid="10" name="ContentTypeId">
    <vt:lpwstr>0x01010058F4C97533AB4D4AB0E3CF7046F02B9B</vt:lpwstr>
  </property>
  <property fmtid="{D5CDD505-2E9C-101B-9397-08002B2CF9AE}" pid="11" name="MediaServiceImageTags">
    <vt:lpwstr/>
  </property>
</Properties>
</file>