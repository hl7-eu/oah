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C:\workspace\oah\models-src\"/>
    </mc:Choice>
  </mc:AlternateContent>
  <xr:revisionPtr revIDLastSave="0" documentId="13_ncr:1_{4561212D-6D29-488F-857E-9D760D31EABF}" xr6:coauthVersionLast="47" xr6:coauthVersionMax="47" xr10:uidLastSave="{00000000-0000-0000-0000-000000000000}"/>
  <bookViews>
    <workbookView xWindow="-6510" yWindow="-21710" windowWidth="38620" windowHeight="21100" activeTab="2" xr2:uid="{FA01C668-562A-4AF9-BDB0-B212F14DE883}"/>
  </bookViews>
  <sheets>
    <sheet name="ConceptMaps" sheetId="17" r:id="rId1"/>
    <sheet name="LogicalModels" sheetId="15" r:id="rId2"/>
    <sheet name="HealthIndicatorsOah2FHIR" sheetId="59" r:id="rId3"/>
    <sheet name="HealthIndicatorsOah" sheetId="60" r:id="rId4"/>
    <sheet name="IndicatorsOah2FHIR" sheetId="54" r:id="rId5"/>
    <sheet name="IndicatorsOah" sheetId="47" r:id="rId6"/>
    <sheet name="HealthMeasureOah2FHIR" sheetId="61" r:id="rId7"/>
    <sheet name="HealthMeasureOah" sheetId="62" r:id="rId8"/>
    <sheet name="SimpleIndicatorOah2FHIR" sheetId="34" r:id="rId9"/>
    <sheet name="SimpleIndicatorOah" sheetId="51" r:id="rId10"/>
    <sheet name="StructuredIndicatorOah2FHIR" sheetId="55" r:id="rId11"/>
    <sheet name="StructuredIndicatorOah" sheetId="52" r:id="rId12"/>
    <sheet name="SampleOah2FHIR" sheetId="57" r:id="rId13"/>
    <sheet name="SampleOah" sheetId="49" r:id="rId14"/>
    <sheet name="DataSetOah2FHIR" sheetId="58" r:id="rId15"/>
    <sheet name="DataSetOah" sheetId="56" r:id="rId16"/>
    <sheet name="IndicatorOah-notUsed" sheetId="50" r:id="rId17"/>
  </sheets>
  <externalReferences>
    <externalReference r:id="rId18"/>
  </externalReferences>
  <definedNames>
    <definedName name="_xlnm._FilterDatabase" localSheetId="15" hidden="1">DataSetOah!$A$1:$E$9</definedName>
    <definedName name="CENEN13606Lekarska_prepustacia_sprava">'[1]Hospital Discharge Report '!#REF!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6" i="59" l="1"/>
  <c r="C56" i="59"/>
  <c r="D56" i="59"/>
  <c r="A57" i="59"/>
  <c r="C57" i="59"/>
  <c r="D57" i="59"/>
  <c r="A58" i="59"/>
  <c r="C58" i="59"/>
  <c r="D58" i="59"/>
  <c r="A59" i="59"/>
  <c r="C59" i="59"/>
  <c r="D59" i="59"/>
  <c r="A60" i="59"/>
  <c r="C60" i="59"/>
  <c r="D60" i="59"/>
  <c r="A61" i="59"/>
  <c r="C61" i="59"/>
  <c r="D61" i="59"/>
  <c r="A62" i="59"/>
  <c r="C62" i="59"/>
  <c r="D62" i="59"/>
  <c r="A63" i="59"/>
  <c r="C63" i="59"/>
  <c r="D63" i="59"/>
  <c r="A64" i="59"/>
  <c r="C64" i="59"/>
  <c r="D64" i="59"/>
  <c r="A33" i="59"/>
  <c r="C33" i="59"/>
  <c r="D33" i="59"/>
  <c r="A34" i="59"/>
  <c r="C34" i="59"/>
  <c r="D34" i="59"/>
  <c r="A35" i="59"/>
  <c r="C35" i="59"/>
  <c r="D35" i="59"/>
  <c r="A36" i="59"/>
  <c r="C36" i="59"/>
  <c r="D36" i="59"/>
  <c r="A37" i="59"/>
  <c r="C37" i="59"/>
  <c r="D37" i="59"/>
  <c r="A38" i="59"/>
  <c r="C38" i="59"/>
  <c r="D38" i="59"/>
  <c r="A39" i="59"/>
  <c r="C39" i="59"/>
  <c r="D39" i="59"/>
  <c r="A40" i="59"/>
  <c r="C40" i="59"/>
  <c r="D40" i="59"/>
  <c r="A41" i="59"/>
  <c r="C41" i="59"/>
  <c r="D41" i="59"/>
  <c r="A42" i="59"/>
  <c r="C42" i="59"/>
  <c r="D42" i="59"/>
  <c r="A43" i="59"/>
  <c r="C43" i="59"/>
  <c r="D43" i="59"/>
  <c r="A44" i="59"/>
  <c r="C44" i="59"/>
  <c r="D44" i="59"/>
  <c r="A45" i="59"/>
  <c r="C45" i="59"/>
  <c r="D45" i="59"/>
  <c r="A46" i="59"/>
  <c r="C46" i="59"/>
  <c r="D46" i="59"/>
  <c r="A47" i="59"/>
  <c r="C47" i="59"/>
  <c r="D47" i="59"/>
  <c r="A48" i="59"/>
  <c r="C48" i="59"/>
  <c r="D48" i="59"/>
  <c r="A49" i="59"/>
  <c r="C49" i="59"/>
  <c r="D49" i="59"/>
  <c r="A50" i="59"/>
  <c r="C50" i="59"/>
  <c r="D50" i="59"/>
  <c r="A51" i="59"/>
  <c r="C51" i="59"/>
  <c r="D51" i="59"/>
  <c r="A52" i="59"/>
  <c r="C52" i="59"/>
  <c r="D52" i="59"/>
  <c r="A53" i="59"/>
  <c r="C53" i="59"/>
  <c r="D53" i="59"/>
  <c r="A54" i="59"/>
  <c r="C54" i="59"/>
  <c r="D54" i="59"/>
  <c r="A55" i="59"/>
  <c r="C55" i="59"/>
  <c r="D55" i="59"/>
  <c r="E52" i="60"/>
  <c r="E53" i="60"/>
  <c r="E54" i="60"/>
  <c r="E55" i="60"/>
  <c r="E56" i="60"/>
  <c r="E51" i="60"/>
  <c r="E49" i="60"/>
  <c r="E50" i="60"/>
  <c r="E48" i="60"/>
  <c r="E35" i="60"/>
  <c r="E36" i="60"/>
  <c r="E37" i="60"/>
  <c r="E38" i="60"/>
  <c r="E39" i="60"/>
  <c r="E40" i="60"/>
  <c r="E41" i="60"/>
  <c r="E42" i="60"/>
  <c r="E43" i="60"/>
  <c r="E44" i="60"/>
  <c r="E45" i="60"/>
  <c r="E46" i="60"/>
  <c r="E47" i="60"/>
  <c r="E34" i="60"/>
  <c r="A12" i="61" l="1"/>
  <c r="D12" i="61"/>
  <c r="C12" i="61"/>
  <c r="A3" i="59"/>
  <c r="A4" i="59"/>
  <c r="A5" i="59"/>
  <c r="A6" i="59"/>
  <c r="A7" i="59"/>
  <c r="A8" i="59"/>
  <c r="A9" i="59"/>
  <c r="A10" i="59"/>
  <c r="A11" i="59"/>
  <c r="A12" i="59"/>
  <c r="A13" i="59"/>
  <c r="A14" i="59"/>
  <c r="A15" i="59"/>
  <c r="A16" i="59"/>
  <c r="A17" i="59"/>
  <c r="A18" i="59"/>
  <c r="A19" i="59"/>
  <c r="A20" i="59"/>
  <c r="A21" i="59"/>
  <c r="A22" i="59"/>
  <c r="A23" i="59"/>
  <c r="A24" i="59"/>
  <c r="A25" i="59"/>
  <c r="A26" i="59"/>
  <c r="A27" i="59"/>
  <c r="A28" i="59"/>
  <c r="A29" i="59"/>
  <c r="A30" i="59"/>
  <c r="A31" i="59"/>
  <c r="A32" i="59"/>
  <c r="A2" i="59"/>
  <c r="A3" i="61"/>
  <c r="A4" i="61"/>
  <c r="A5" i="61"/>
  <c r="A6" i="61"/>
  <c r="A7" i="61"/>
  <c r="A8" i="61"/>
  <c r="A9" i="61"/>
  <c r="A10" i="61"/>
  <c r="A11" i="61"/>
  <c r="A2" i="61"/>
  <c r="C8" i="17"/>
  <c r="C9" i="61"/>
  <c r="D9" i="61"/>
  <c r="C10" i="61"/>
  <c r="D10" i="61"/>
  <c r="C11" i="61"/>
  <c r="D11" i="61"/>
  <c r="F6" i="61"/>
  <c r="C3" i="61"/>
  <c r="D3" i="61"/>
  <c r="C4" i="61"/>
  <c r="D4" i="61"/>
  <c r="C5" i="61"/>
  <c r="D5" i="61"/>
  <c r="C6" i="61"/>
  <c r="D6" i="61"/>
  <c r="C7" i="61"/>
  <c r="D7" i="61"/>
  <c r="C8" i="61"/>
  <c r="D8" i="61"/>
  <c r="D2" i="61"/>
  <c r="C2" i="61"/>
  <c r="C3" i="59"/>
  <c r="D3" i="59"/>
  <c r="C4" i="59"/>
  <c r="D4" i="59"/>
  <c r="C5" i="59"/>
  <c r="D5" i="59"/>
  <c r="C6" i="59"/>
  <c r="D6" i="59"/>
  <c r="C7" i="59"/>
  <c r="D7" i="59"/>
  <c r="C8" i="59"/>
  <c r="D8" i="59"/>
  <c r="C9" i="59"/>
  <c r="D9" i="59"/>
  <c r="C10" i="59"/>
  <c r="D10" i="59"/>
  <c r="C11" i="59"/>
  <c r="D11" i="59"/>
  <c r="C12" i="59"/>
  <c r="D12" i="59"/>
  <c r="C13" i="59"/>
  <c r="D13" i="59"/>
  <c r="C14" i="59"/>
  <c r="D14" i="59"/>
  <c r="C15" i="59"/>
  <c r="D15" i="59"/>
  <c r="C16" i="59"/>
  <c r="D16" i="59"/>
  <c r="C17" i="59"/>
  <c r="D17" i="59"/>
  <c r="C18" i="59"/>
  <c r="D18" i="59"/>
  <c r="C19" i="59"/>
  <c r="D19" i="59"/>
  <c r="C20" i="59"/>
  <c r="D20" i="59"/>
  <c r="C21" i="59"/>
  <c r="D21" i="59"/>
  <c r="C22" i="59"/>
  <c r="D22" i="59"/>
  <c r="C23" i="59"/>
  <c r="D23" i="59"/>
  <c r="C24" i="59"/>
  <c r="D24" i="59"/>
  <c r="C25" i="59"/>
  <c r="D25" i="59"/>
  <c r="C26" i="59"/>
  <c r="D26" i="59"/>
  <c r="C27" i="59"/>
  <c r="D27" i="59"/>
  <c r="C28" i="59"/>
  <c r="D28" i="59"/>
  <c r="C29" i="59"/>
  <c r="D29" i="59"/>
  <c r="C30" i="59"/>
  <c r="D30" i="59"/>
  <c r="C31" i="59"/>
  <c r="D31" i="59"/>
  <c r="C32" i="59"/>
  <c r="D32" i="59"/>
  <c r="D2" i="59"/>
  <c r="C7" i="17"/>
  <c r="F5" i="61"/>
  <c r="F4" i="61"/>
  <c r="E4" i="60"/>
  <c r="E5" i="60"/>
  <c r="E6" i="60"/>
  <c r="E7" i="60"/>
  <c r="E8" i="60"/>
  <c r="E9" i="60"/>
  <c r="E10" i="60"/>
  <c r="E11" i="60"/>
  <c r="E12" i="60"/>
  <c r="E13" i="60"/>
  <c r="E14" i="60"/>
  <c r="E15" i="60"/>
  <c r="E16" i="60"/>
  <c r="E17" i="60"/>
  <c r="E18" i="60"/>
  <c r="E19" i="60"/>
  <c r="E20" i="60"/>
  <c r="E21" i="60"/>
  <c r="E22" i="60"/>
  <c r="E23" i="60"/>
  <c r="E24" i="60"/>
  <c r="E25" i="60"/>
  <c r="E26" i="60"/>
  <c r="E27" i="60"/>
  <c r="E28" i="60"/>
  <c r="E29" i="60"/>
  <c r="E30" i="60"/>
  <c r="E31" i="60"/>
  <c r="E32" i="60"/>
  <c r="E3" i="60"/>
  <c r="F3" i="59"/>
  <c r="C2" i="59"/>
  <c r="C34" i="54"/>
  <c r="D34" i="54"/>
  <c r="C35" i="54"/>
  <c r="D35" i="54"/>
  <c r="C36" i="54"/>
  <c r="D36" i="54"/>
  <c r="C37" i="54"/>
  <c r="D37" i="54"/>
  <c r="C38" i="54"/>
  <c r="D38" i="54"/>
  <c r="C39" i="54"/>
  <c r="D39" i="54"/>
  <c r="C40" i="54"/>
  <c r="D40" i="54"/>
  <c r="C41" i="54"/>
  <c r="D41" i="54"/>
  <c r="C42" i="54"/>
  <c r="D42" i="54"/>
  <c r="C43" i="54"/>
  <c r="D43" i="54"/>
  <c r="C44" i="54"/>
  <c r="D44" i="54"/>
  <c r="C45" i="54"/>
  <c r="D45" i="54"/>
  <c r="C46" i="54"/>
  <c r="D46" i="54"/>
  <c r="C47" i="54"/>
  <c r="D47" i="54"/>
  <c r="C48" i="54"/>
  <c r="D48" i="54"/>
  <c r="C49" i="54"/>
  <c r="D49" i="54"/>
  <c r="C50" i="54"/>
  <c r="D50" i="54"/>
  <c r="C51" i="54"/>
  <c r="D51" i="54"/>
  <c r="C52" i="54"/>
  <c r="D52" i="54"/>
  <c r="C53" i="54"/>
  <c r="D53" i="54"/>
  <c r="C54" i="54"/>
  <c r="D54" i="54"/>
  <c r="C55" i="54"/>
  <c r="D55" i="54"/>
  <c r="C56" i="54"/>
  <c r="D56" i="54"/>
  <c r="C57" i="54"/>
  <c r="D57" i="54"/>
  <c r="C58" i="54"/>
  <c r="D58" i="54"/>
  <c r="C59" i="54"/>
  <c r="D59" i="54"/>
  <c r="C60" i="54"/>
  <c r="D60" i="54"/>
  <c r="C61" i="54"/>
  <c r="D61" i="54"/>
  <c r="C62" i="54"/>
  <c r="D62" i="54"/>
  <c r="C32" i="54"/>
  <c r="D32" i="54"/>
  <c r="C33" i="54"/>
  <c r="D33" i="54"/>
  <c r="A32" i="54"/>
  <c r="A41" i="54"/>
  <c r="A42" i="54"/>
  <c r="A43" i="54"/>
  <c r="A44" i="54"/>
  <c r="A45" i="54"/>
  <c r="A46" i="54"/>
  <c r="A47" i="54"/>
  <c r="A48" i="54"/>
  <c r="A49" i="54"/>
  <c r="A50" i="54"/>
  <c r="A51" i="54"/>
  <c r="A52" i="54"/>
  <c r="A53" i="54"/>
  <c r="A54" i="54"/>
  <c r="A55" i="54"/>
  <c r="A56" i="54"/>
  <c r="A57" i="54"/>
  <c r="A58" i="54"/>
  <c r="A59" i="54"/>
  <c r="A60" i="54"/>
  <c r="A61" i="54"/>
  <c r="A62" i="54"/>
  <c r="A33" i="54"/>
  <c r="A34" i="54"/>
  <c r="A35" i="54"/>
  <c r="A36" i="54"/>
  <c r="A38" i="54"/>
  <c r="A40" i="54"/>
  <c r="C5" i="17"/>
  <c r="D11" i="57"/>
  <c r="D3" i="57"/>
  <c r="C3" i="57"/>
  <c r="A3" i="57"/>
  <c r="A7" i="57"/>
  <c r="A8" i="57"/>
  <c r="A9" i="57"/>
  <c r="A10" i="57"/>
  <c r="A11" i="57"/>
  <c r="A12" i="57"/>
  <c r="C8" i="57"/>
  <c r="D8" i="57"/>
  <c r="C9" i="57"/>
  <c r="D9" i="57"/>
  <c r="C10" i="57"/>
  <c r="D10" i="57"/>
  <c r="C11" i="57"/>
  <c r="C12" i="57"/>
  <c r="D12" i="57"/>
  <c r="D7" i="57"/>
  <c r="C7" i="57"/>
  <c r="A4" i="57"/>
  <c r="A5" i="57"/>
  <c r="A6" i="57"/>
  <c r="A2" i="57"/>
  <c r="C4" i="57"/>
  <c r="D4" i="57"/>
  <c r="C5" i="57"/>
  <c r="D5" i="57"/>
  <c r="C6" i="57"/>
  <c r="D6" i="57"/>
  <c r="D2" i="57"/>
  <c r="C2" i="57"/>
  <c r="D25" i="58"/>
  <c r="C25" i="58"/>
  <c r="A25" i="58"/>
  <c r="D24" i="58"/>
  <c r="C24" i="58"/>
  <c r="A24" i="58"/>
  <c r="D23" i="58"/>
  <c r="C23" i="58"/>
  <c r="A23" i="58"/>
  <c r="D22" i="58"/>
  <c r="C22" i="58"/>
  <c r="A22" i="58"/>
  <c r="D21" i="58"/>
  <c r="C21" i="58"/>
  <c r="A21" i="58"/>
  <c r="D20" i="58"/>
  <c r="C20" i="58"/>
  <c r="A20" i="58"/>
  <c r="D19" i="58"/>
  <c r="C19" i="58"/>
  <c r="A19" i="58"/>
  <c r="D18" i="58"/>
  <c r="C18" i="58"/>
  <c r="A18" i="58"/>
  <c r="D17" i="58"/>
  <c r="C17" i="58"/>
  <c r="A17" i="58"/>
  <c r="D16" i="58"/>
  <c r="C16" i="58"/>
  <c r="A16" i="58"/>
  <c r="D15" i="58"/>
  <c r="C15" i="58"/>
  <c r="A15" i="58"/>
  <c r="D14" i="58"/>
  <c r="C14" i="58"/>
  <c r="A14" i="58"/>
  <c r="D13" i="58"/>
  <c r="C13" i="58"/>
  <c r="A13" i="58"/>
  <c r="D12" i="58"/>
  <c r="C12" i="58"/>
  <c r="A12" i="58"/>
  <c r="D11" i="58"/>
  <c r="C11" i="58"/>
  <c r="A11" i="58"/>
  <c r="D10" i="58"/>
  <c r="C10" i="58"/>
  <c r="A10" i="58"/>
  <c r="D9" i="58"/>
  <c r="C9" i="58"/>
  <c r="A9" i="58"/>
  <c r="D8" i="58"/>
  <c r="C8" i="58"/>
  <c r="A8" i="58"/>
  <c r="D7" i="58"/>
  <c r="C7" i="58"/>
  <c r="A7" i="58"/>
  <c r="D6" i="58"/>
  <c r="C6" i="58"/>
  <c r="A6" i="58"/>
  <c r="F5" i="58"/>
  <c r="D5" i="58"/>
  <c r="C5" i="58"/>
  <c r="A5" i="58"/>
  <c r="F4" i="58"/>
  <c r="D4" i="58"/>
  <c r="C4" i="58"/>
  <c r="A4" i="58"/>
  <c r="D3" i="58"/>
  <c r="C3" i="58"/>
  <c r="A3" i="58"/>
  <c r="D2" i="58"/>
  <c r="C2" i="58"/>
  <c r="A2" i="58"/>
  <c r="C6" i="17"/>
  <c r="C4" i="17"/>
  <c r="A9" i="55"/>
  <c r="A10" i="55"/>
  <c r="C4" i="55"/>
  <c r="D4" i="55"/>
  <c r="C3" i="55"/>
  <c r="D3" i="55"/>
  <c r="C5" i="55"/>
  <c r="D5" i="55"/>
  <c r="C6" i="55"/>
  <c r="D6" i="55"/>
  <c r="C7" i="55"/>
  <c r="D7" i="55"/>
  <c r="C8" i="55"/>
  <c r="D8" i="55"/>
  <c r="C9" i="55"/>
  <c r="D9" i="55"/>
  <c r="C10" i="55"/>
  <c r="D10" i="55"/>
  <c r="D2" i="55"/>
  <c r="C2" i="55"/>
  <c r="A3" i="55"/>
  <c r="A4" i="55"/>
  <c r="A5" i="55"/>
  <c r="A6" i="55"/>
  <c r="A7" i="55"/>
  <c r="A8" i="55"/>
  <c r="A2" i="55"/>
  <c r="F5" i="55"/>
  <c r="F4" i="55"/>
  <c r="C3" i="17"/>
  <c r="A4" i="34"/>
  <c r="C4" i="34"/>
  <c r="D4" i="34"/>
  <c r="F4" i="34"/>
  <c r="A3" i="34"/>
  <c r="C3" i="34"/>
  <c r="D3" i="34"/>
  <c r="A5" i="34"/>
  <c r="A6" i="34"/>
  <c r="A7" i="34"/>
  <c r="A8" i="34"/>
  <c r="A2" i="34"/>
  <c r="C5" i="34"/>
  <c r="D5" i="34"/>
  <c r="C6" i="34"/>
  <c r="D6" i="34"/>
  <c r="C7" i="34"/>
  <c r="D7" i="34"/>
  <c r="C8" i="34"/>
  <c r="D8" i="34"/>
  <c r="D2" i="34"/>
  <c r="C2" i="34"/>
  <c r="D31" i="54"/>
  <c r="C31" i="54"/>
  <c r="A31" i="54"/>
  <c r="D30" i="54"/>
  <c r="C30" i="54"/>
  <c r="A30" i="54"/>
  <c r="D29" i="54"/>
  <c r="C29" i="54"/>
  <c r="A29" i="54"/>
  <c r="D28" i="54"/>
  <c r="C28" i="54"/>
  <c r="A28" i="54"/>
  <c r="D27" i="54"/>
  <c r="C27" i="54"/>
  <c r="A27" i="54"/>
  <c r="D26" i="54"/>
  <c r="C26" i="54"/>
  <c r="A26" i="54"/>
  <c r="D25" i="54"/>
  <c r="C25" i="54"/>
  <c r="A25" i="54"/>
  <c r="D24" i="54"/>
  <c r="C24" i="54"/>
  <c r="A24" i="54"/>
  <c r="D23" i="54"/>
  <c r="C23" i="54"/>
  <c r="A23" i="54"/>
  <c r="D22" i="54"/>
  <c r="C22" i="54"/>
  <c r="A22" i="54"/>
  <c r="D21" i="54"/>
  <c r="C21" i="54"/>
  <c r="A21" i="54"/>
  <c r="D20" i="54"/>
  <c r="C20" i="54"/>
  <c r="A20" i="54"/>
  <c r="D19" i="54"/>
  <c r="C19" i="54"/>
  <c r="A19" i="54"/>
  <c r="D18" i="54"/>
  <c r="C18" i="54"/>
  <c r="A18" i="54"/>
  <c r="D17" i="54"/>
  <c r="C17" i="54"/>
  <c r="A17" i="54"/>
  <c r="D16" i="54"/>
  <c r="C16" i="54"/>
  <c r="A16" i="54"/>
  <c r="D15" i="54"/>
  <c r="C15" i="54"/>
  <c r="A15" i="54"/>
  <c r="D14" i="54"/>
  <c r="C14" i="54"/>
  <c r="A14" i="54"/>
  <c r="D13" i="54"/>
  <c r="C13" i="54"/>
  <c r="A13" i="54"/>
  <c r="D12" i="54"/>
  <c r="C12" i="54"/>
  <c r="A12" i="54"/>
  <c r="D11" i="54"/>
  <c r="C11" i="54"/>
  <c r="A11" i="54"/>
  <c r="D10" i="54"/>
  <c r="C10" i="54"/>
  <c r="A10" i="54"/>
  <c r="D9" i="54"/>
  <c r="C9" i="54"/>
  <c r="A9" i="54"/>
  <c r="D8" i="54"/>
  <c r="C8" i="54"/>
  <c r="A8" i="54"/>
  <c r="D7" i="54"/>
  <c r="C7" i="54"/>
  <c r="A7" i="54"/>
  <c r="D6" i="54"/>
  <c r="C6" i="54"/>
  <c r="A6" i="54"/>
  <c r="D5" i="54"/>
  <c r="C5" i="54"/>
  <c r="A5" i="54"/>
  <c r="D4" i="54"/>
  <c r="C4" i="54"/>
  <c r="A4" i="54"/>
  <c r="F3" i="54"/>
  <c r="D3" i="54"/>
  <c r="C3" i="54"/>
  <c r="A3" i="54"/>
  <c r="D2" i="54"/>
  <c r="C2" i="54"/>
  <c r="A2" i="54"/>
  <c r="C2" i="17"/>
  <c r="F5" i="34"/>
</calcChain>
</file>

<file path=xl/sharedStrings.xml><?xml version="1.0" encoding="utf-8"?>
<sst xmlns="http://schemas.openxmlformats.org/spreadsheetml/2006/main" count="1655" uniqueCount="564">
  <si>
    <t>Group Source</t>
  </si>
  <si>
    <t>Group Target</t>
  </si>
  <si>
    <t>Source Code</t>
  </si>
  <si>
    <t>Source Display</t>
  </si>
  <si>
    <t>Target Code</t>
  </si>
  <si>
    <t>Target Display</t>
  </si>
  <si>
    <t>Equivalence</t>
  </si>
  <si>
    <t>relatedto</t>
  </si>
  <si>
    <t>Comment</t>
  </si>
  <si>
    <t>Element</t>
  </si>
  <si>
    <t>Cardinality</t>
  </si>
  <si>
    <t>Datatype</t>
  </si>
  <si>
    <t>Short</t>
  </si>
  <si>
    <t>Definition</t>
  </si>
  <si>
    <t>0..*</t>
  </si>
  <si>
    <t>Instance</t>
  </si>
  <si>
    <t>Name</t>
  </si>
  <si>
    <t>URL</t>
  </si>
  <si>
    <t>Title</t>
  </si>
  <si>
    <t>Description</t>
  </si>
  <si>
    <t>Status</t>
  </si>
  <si>
    <t>SourceUri</t>
  </si>
  <si>
    <t>TargetUri</t>
  </si>
  <si>
    <t>draft</t>
  </si>
  <si>
    <t>Id</t>
  </si>
  <si>
    <t>Experimental</t>
  </si>
  <si>
    <t>true</t>
  </si>
  <si>
    <t>Observation</t>
  </si>
  <si>
    <t>Observation.value[x]</t>
  </si>
  <si>
    <t>Base</t>
  </si>
  <si>
    <t>Key biological quality indicators</t>
  </si>
  <si>
    <t>Biological indicators of health risk . These are the indicators that were considered useful to test the links between aquatic ecosystem health and human well-being in the scope of the OneAquaHeath project</t>
  </si>
  <si>
    <t>Benthic Macroinvertebrates</t>
  </si>
  <si>
    <t>Fish</t>
  </si>
  <si>
    <t>Macrophytes (aquatic plants)</t>
  </si>
  <si>
    <t>Riparian vegetation</t>
  </si>
  <si>
    <t>Diatoms (microalgae/phytobenthos)</t>
  </si>
  <si>
    <t>Microbiomes/Biofilms</t>
  </si>
  <si>
    <t>Morphology of the streams – habitat, shape of the channel and valley, substrate in the channel and margins</t>
  </si>
  <si>
    <t>Hydrology of the stream – flow type, diversity of flow types, longitudinal connectivity, runoff</t>
  </si>
  <si>
    <t>Land use in the margins</t>
  </si>
  <si>
    <t>Morphology of the streams</t>
  </si>
  <si>
    <t>Hydrology of the stream</t>
  </si>
  <si>
    <t>Key hydromorphological quality indicators</t>
  </si>
  <si>
    <t>The hydromorphological characteristics include the type and diversity of aquatic habitats, substrate of the bottom and margins, flow type, size of the rivers, land use in the margins, existence of barriers, or other artificial structures and land use in the margins. Those characteristics influence the river continuum, the habitats available for the aquatic biota, the species migration and the sediments, water flow and energy transferences over a river basin</t>
  </si>
  <si>
    <t>Nutrients (Nitrates, nitrites, ammonia, phosphates, total P, total N, …)</t>
  </si>
  <si>
    <t>pH</t>
  </si>
  <si>
    <t>Water temperature</t>
  </si>
  <si>
    <t>Conductivity</t>
  </si>
  <si>
    <t>Pharmaceuticals</t>
  </si>
  <si>
    <t>Foam/colour/smell</t>
  </si>
  <si>
    <t>Coliforms</t>
  </si>
  <si>
    <t>Nutrients</t>
  </si>
  <si>
    <t>Total dissolved solids (TDS)</t>
  </si>
  <si>
    <t>Total suspended solids (TSS)</t>
  </si>
  <si>
    <t>Key water quality indicators</t>
  </si>
  <si>
    <t xml:space="preserve">The water physical and chemical properties are used for longer time as indicators of quality of water bodies. Measurements of pH, dissolved oxygen, nutrients (e.g., nitrates, nitrites, ammonia, phosphates) or pollutants such as heavy metals, and emergent contaminants (e.g., pharmaceuticals, plastics, and persistent organic pollutants) indicate alterations of water quality in comparison to natural waters of a given region, and influence their potential to support life and risks for human health. </t>
  </si>
  <si>
    <t>Diptera (specially Culicidae and Psycodidae)</t>
  </si>
  <si>
    <t>Ticks</t>
  </si>
  <si>
    <t>Invasive invertebrate, plants and fish</t>
  </si>
  <si>
    <t>Birds</t>
  </si>
  <si>
    <t>Diatom teratology (deformities)</t>
  </si>
  <si>
    <t>Amphibians</t>
  </si>
  <si>
    <t>Diptera</t>
  </si>
  <si>
    <t>Diatom teratology</t>
  </si>
  <si>
    <t>Biological indicators of health risks</t>
  </si>
  <si>
    <t xml:space="preserve">Several organisms present in freshwater ecosystems and margins can be relevant as vectors or disease sinks or have the potential to contribute to the mitigation of diseases by controlling vector populations. These include the invertebrates (insects or ticks), and vertebrates (as birds, amphibians, fish). Mosquitoes and ticks are amongst the most important vectors of disease. </t>
  </si>
  <si>
    <t>description</t>
  </si>
  <si>
    <t>Dissolved O2</t>
  </si>
  <si>
    <t>biological</t>
  </si>
  <si>
    <t>hydromorphological</t>
  </si>
  <si>
    <t>biological.macroinvertebreates</t>
  </si>
  <si>
    <t>biological.diatomes</t>
  </si>
  <si>
    <t>biological.fishes</t>
  </si>
  <si>
    <t>biological.macrophytes</t>
  </si>
  <si>
    <t>biological.riparianVegetation</t>
  </si>
  <si>
    <t>biological.microbiomes</t>
  </si>
  <si>
    <t>0..1</t>
  </si>
  <si>
    <t>hydromorphological.morphology</t>
  </si>
  <si>
    <t>hydromorphological.hydrology</t>
  </si>
  <si>
    <t>hydromorphological.landUse</t>
  </si>
  <si>
    <t>water</t>
  </si>
  <si>
    <t>water.nutrients</t>
  </si>
  <si>
    <t>water.pH</t>
  </si>
  <si>
    <t>water.dissolvedO2</t>
  </si>
  <si>
    <t>water.waterTemperature</t>
  </si>
  <si>
    <t>water.tds</t>
  </si>
  <si>
    <t>water.tss</t>
  </si>
  <si>
    <t>water.conductivity</t>
  </si>
  <si>
    <t>water.pharmaceuticals</t>
  </si>
  <si>
    <t>water.foam</t>
  </si>
  <si>
    <t>water.coliforms</t>
  </si>
  <si>
    <t>bioRisk</t>
  </si>
  <si>
    <t>bioRisk.diptera</t>
  </si>
  <si>
    <t>bioRisk.ticks</t>
  </si>
  <si>
    <t>bioRisk.invasiveOrganisms</t>
  </si>
  <si>
    <t>bioRisk.birds</t>
  </si>
  <si>
    <t>bioRisk.diatomTratology</t>
  </si>
  <si>
    <t>bioRisk.fish</t>
  </si>
  <si>
    <t>bioRisk.amphibians</t>
  </si>
  <si>
    <t>IndicatorsOah</t>
  </si>
  <si>
    <t>OAH indicators</t>
  </si>
  <si>
    <t>Set of OneAquaHealth indicators including : (a) biological quality (b) hydromorphological quality (c)  hydromorphological quality  and (d) Biological indicators of health risks</t>
  </si>
  <si>
    <t>http://hl7.eu/fhir/ig/oah/StructureDefinition/observation-indicators-oah</t>
  </si>
  <si>
    <t>IndicatorsOah2FHIR</t>
  </si>
  <si>
    <t>size</t>
  </si>
  <si>
    <t>date</t>
  </si>
  <si>
    <t>site</t>
  </si>
  <si>
    <t>site.name</t>
  </si>
  <si>
    <t>site.gps</t>
  </si>
  <si>
    <t>Sampling Site</t>
  </si>
  <si>
    <t>Site identifier</t>
  </si>
  <si>
    <t>Site Name</t>
  </si>
  <si>
    <t>GPS</t>
  </si>
  <si>
    <t>dateOfSampling</t>
  </si>
  <si>
    <t>Date of Sample</t>
  </si>
  <si>
    <t>Performer</t>
  </si>
  <si>
    <t>Characteristics</t>
  </si>
  <si>
    <t>site.characteristics</t>
  </si>
  <si>
    <t>Form Reference</t>
  </si>
  <si>
    <t>1..1</t>
  </si>
  <si>
    <t>1..*</t>
  </si>
  <si>
    <t>sampleDetails</t>
  </si>
  <si>
    <t>Sample</t>
  </si>
  <si>
    <t>Observation date</t>
  </si>
  <si>
    <t>Who made the measure</t>
  </si>
  <si>
    <t>Result of the observation: it could be a single value or a set of results</t>
  </si>
  <si>
    <t>Result</t>
  </si>
  <si>
    <t>SampleOah</t>
  </si>
  <si>
    <t>Information about the sample used for this measure</t>
  </si>
  <si>
    <t>dateTime</t>
  </si>
  <si>
    <t>CodeableConcept or Quantity</t>
  </si>
  <si>
    <t>component</t>
  </si>
  <si>
    <t>Result of the set of observation: it could be a single value or a set of results</t>
  </si>
  <si>
    <t>Set of results defining this indicator</t>
  </si>
  <si>
    <t>site.identifier</t>
  </si>
  <si>
    <t>site.formReference</t>
  </si>
  <si>
    <t>Reference to the form where the details about the site have been captured</t>
  </si>
  <si>
    <t>PractitionerRole or Organization</t>
  </si>
  <si>
    <t>Reference( Binary or QuestionnaireResponse or DocumentReference)</t>
  </si>
  <si>
    <t>Component</t>
  </si>
  <si>
    <t>type</t>
  </si>
  <si>
    <t>CodeableConcept</t>
  </si>
  <si>
    <t>What is measured</t>
  </si>
  <si>
    <t>Type of indicator : e.g. number of mosquito in the sample</t>
  </si>
  <si>
    <t>component.type</t>
  </si>
  <si>
    <t>Type of indicator : e.g. presence of liverworts</t>
  </si>
  <si>
    <t>Quantity</t>
  </si>
  <si>
    <t>CodeableConcept or Quantity or string</t>
  </si>
  <si>
    <t>result[x]</t>
  </si>
  <si>
    <t>component.result[x]</t>
  </si>
  <si>
    <t>performer[x]</t>
  </si>
  <si>
    <t>perfomer[x]</t>
  </si>
  <si>
    <t>StructuredIndicatorOah</t>
  </si>
  <si>
    <t>Model describing the common attributes of a structured indicator with multiple measures</t>
  </si>
  <si>
    <t>Model describing the common attributes of a simple indicator wiith a single value</t>
  </si>
  <si>
    <t>StructuredIndicator</t>
  </si>
  <si>
    <t>SimpleIndicator</t>
  </si>
  <si>
    <t>Benthic Macroinvertebrates measure:  e.g. number of snails in the sample</t>
  </si>
  <si>
    <t>Diatoms (microalgae/phytobenthos) measures e.g. number of diatoma vulgaris in the sample</t>
  </si>
  <si>
    <t>Fish related measures perfomed : e.g. number of carps in the sample</t>
  </si>
  <si>
    <t>Macrophytes (aquatic plants) related measures.</t>
  </si>
  <si>
    <t>Riparian vegetation related measures.</t>
  </si>
  <si>
    <t>Structured Indicator</t>
  </si>
  <si>
    <t>Simple Indicator</t>
  </si>
  <si>
    <t>SimpleIndicatorOah</t>
  </si>
  <si>
    <t>http://hl7.eu/fhir/ig/oah/StructureDefinition/observation-with-component-oah</t>
  </si>
  <si>
    <t>where Observation.code is 'macroinvertebreates'</t>
  </si>
  <si>
    <t>where Observation.code is 'diatomes'</t>
  </si>
  <si>
    <t>where Observation.code is 'fishes'</t>
  </si>
  <si>
    <t>where Observation.code is 'microbiomes'</t>
  </si>
  <si>
    <t>where Observation.code is 'morphology'</t>
  </si>
  <si>
    <t>where Observation.code is 'hydrology'</t>
  </si>
  <si>
    <t>where Observation.code is 'landUse'</t>
  </si>
  <si>
    <t>where Observation.code is 'nutrients'</t>
  </si>
  <si>
    <t>where Observation.code is 'pH'</t>
  </si>
  <si>
    <t>where Observation.code is 'dissolvedO2'</t>
  </si>
  <si>
    <t>where Observation.code is 'waterTemperature'</t>
  </si>
  <si>
    <t>where Observation.code is 'tds'</t>
  </si>
  <si>
    <t>where Observation.code is 'tss'</t>
  </si>
  <si>
    <t>where Observation.code is 'conductivity'</t>
  </si>
  <si>
    <t>where Observation.code is 'pharmaceuticals'</t>
  </si>
  <si>
    <t>where Observation.code is 'foam'</t>
  </si>
  <si>
    <t>where Observation.code is 'coliforms'</t>
  </si>
  <si>
    <t>where Observation.code is 'diptera'</t>
  </si>
  <si>
    <t>where Observation.code is 'ticks'</t>
  </si>
  <si>
    <t>where Observation.code is 'invasiveOrganisms'</t>
  </si>
  <si>
    <t>where Observation.code is 'birds'</t>
  </si>
  <si>
    <t>where Observation.code is 'diatomTratology'</t>
  </si>
  <si>
    <t>where Observation.code is 'fish'</t>
  </si>
  <si>
    <t>where Observation.code is 'amphibians'</t>
  </si>
  <si>
    <t>Observation.component.value[x]</t>
  </si>
  <si>
    <t>where Observation.code is 'macrophytes'. Multimple results are recorded for this indicator.</t>
  </si>
  <si>
    <t>where Observation.code is 'riparianVegetation'.Multimple results are recorded for this indicator.</t>
  </si>
  <si>
    <t>This filed is realized by the subject and the specimen elements</t>
  </si>
  <si>
    <t>Observation.subject</t>
  </si>
  <si>
    <t>Observation.specimen</t>
  </si>
  <si>
    <t>Observation.code</t>
  </si>
  <si>
    <t>Observation.effectiveDateTime</t>
  </si>
  <si>
    <t>Observation.performer[x]</t>
  </si>
  <si>
    <t>It could be a Person or an Organization</t>
  </si>
  <si>
    <t>SimpleIndicatorOah2FHIR</t>
  </si>
  <si>
    <t>OAH Indicators Model to this guide Map</t>
  </si>
  <si>
    <t>OAH Indicators Model to this guide mapping</t>
  </si>
  <si>
    <t>OAH  Simple Indicator Model to this guide Map</t>
  </si>
  <si>
    <t>OAH simple Indicator Model to this guide mapping</t>
  </si>
  <si>
    <t>Observation.component</t>
  </si>
  <si>
    <t>Observation.component.code</t>
  </si>
  <si>
    <t>StructuredIndicatorOah2FHIR</t>
  </si>
  <si>
    <t>OAH  Structured Indicator Model to this guide Map</t>
  </si>
  <si>
    <t>OAH Structured Indicator Model to this guide mapping</t>
  </si>
  <si>
    <t>equivalent</t>
  </si>
  <si>
    <t>author</t>
  </si>
  <si>
    <t>licence</t>
  </si>
  <si>
    <t>title</t>
  </si>
  <si>
    <t>url</t>
  </si>
  <si>
    <t>ContactDetail</t>
  </si>
  <si>
    <t>Data Set Author(s)</t>
  </si>
  <si>
    <t>publisher</t>
  </si>
  <si>
    <t>version</t>
  </si>
  <si>
    <t>Link</t>
  </si>
  <si>
    <t>Data set version</t>
  </si>
  <si>
    <t>string</t>
  </si>
  <si>
    <t>numberOfRecords</t>
  </si>
  <si>
    <t>integer</t>
  </si>
  <si>
    <t>Data set desxription</t>
  </si>
  <si>
    <t>licence information</t>
  </si>
  <si>
    <t>Data set copyright</t>
  </si>
  <si>
    <t>copyright</t>
  </si>
  <si>
    <t>Data set size</t>
  </si>
  <si>
    <t>Data set title</t>
  </si>
  <si>
    <t>Data set size (e.g. MB)</t>
  </si>
  <si>
    <t>Number of records</t>
  </si>
  <si>
    <t>Number of records in this data set</t>
  </si>
  <si>
    <t>record</t>
  </si>
  <si>
    <t>record.title</t>
  </si>
  <si>
    <t>record.format</t>
  </si>
  <si>
    <t>record.link</t>
  </si>
  <si>
    <t>record.size</t>
  </si>
  <si>
    <t>record in the dat set</t>
  </si>
  <si>
    <t>Record title</t>
  </si>
  <si>
    <t>Record format</t>
  </si>
  <si>
    <t>Format</t>
  </si>
  <si>
    <t>Where the record can be accessed</t>
  </si>
  <si>
    <t>Size</t>
  </si>
  <si>
    <t>Size of the record  (e.g. MB)</t>
  </si>
  <si>
    <t>DataSetOah</t>
  </si>
  <si>
    <t>DataSet</t>
  </si>
  <si>
    <t xml:space="preserve">OAH Data Set </t>
  </si>
  <si>
    <t>Model describing the data set usd for the OneAquaHealth project</t>
  </si>
  <si>
    <t>pid</t>
  </si>
  <si>
    <t>Identifies the type of data set</t>
  </si>
  <si>
    <t>Data Set type</t>
  </si>
  <si>
    <t>contact</t>
  </si>
  <si>
    <t>Contact details</t>
  </si>
  <si>
    <t>Contact details for this data set</t>
  </si>
  <si>
    <t>Data Set publisher</t>
  </si>
  <si>
    <t>globally uniqu,  persistent and resolvable identifier</t>
  </si>
  <si>
    <t>http://hl7.eu/fhir/ig/oah/StructureDefinition/library-oah</t>
  </si>
  <si>
    <t>Library.url</t>
  </si>
  <si>
    <t>Library.title</t>
  </si>
  <si>
    <t>Library.copyright</t>
  </si>
  <si>
    <t>Library.description</t>
  </si>
  <si>
    <t>Library.version</t>
  </si>
  <si>
    <t>Library.type</t>
  </si>
  <si>
    <t>Library.contact</t>
  </si>
  <si>
    <t>Library.publisher</t>
  </si>
  <si>
    <t>Library.author</t>
  </si>
  <si>
    <t>Library.date</t>
  </si>
  <si>
    <t>Library.lastReviewDate</t>
  </si>
  <si>
    <t>Data set Date</t>
  </si>
  <si>
    <t xml:space="preserve">The date when the data set was last significantly changed. </t>
  </si>
  <si>
    <t>dateOfReview</t>
  </si>
  <si>
    <t>Date of last review</t>
  </si>
  <si>
    <t>The date on which the resource content was last reviewed. Review happens periodically after approval but does not change the original approval date.</t>
  </si>
  <si>
    <t>dateOfApproval</t>
  </si>
  <si>
    <t>Date of approval</t>
  </si>
  <si>
    <t>When the publisher approaved the data set for publication</t>
  </si>
  <si>
    <t>Library.approvalDate</t>
  </si>
  <si>
    <t>Library.extension[licence]</t>
  </si>
  <si>
    <t>extension[size].valueQuantity</t>
  </si>
  <si>
    <t>extension[numberOfRecords].valueInteger</t>
  </si>
  <si>
    <t>Library.content</t>
  </si>
  <si>
    <t>extension[copyrightLabel].valueString</t>
  </si>
  <si>
    <t>Attachment</t>
  </si>
  <si>
    <t>Attachment.title</t>
  </si>
  <si>
    <t>Attachment.contentType</t>
  </si>
  <si>
    <t>Attachment.url</t>
  </si>
  <si>
    <t>Attachment.size</t>
  </si>
  <si>
    <t>Library.dataRequirement</t>
  </si>
  <si>
    <t>DataRequirement</t>
  </si>
  <si>
    <t>DataRequirement.type</t>
  </si>
  <si>
    <t>as MIME type</t>
  </si>
  <si>
    <t>As FHIR resource</t>
  </si>
  <si>
    <t>DataRequirement.profile</t>
  </si>
  <si>
    <t>As FHIR profile</t>
  </si>
  <si>
    <t>DataSetOah2FHIR</t>
  </si>
  <si>
    <t>OAH Data Set Model to this guide Map</t>
  </si>
  <si>
    <t>OAH Data Set Model to this guide mapping</t>
  </si>
  <si>
    <t>http://hl7.eu/fhir/ig/oah/StructureDefinition/specimen-oah</t>
  </si>
  <si>
    <t>http://hl7.eu/fhir/ig/oah/StructureDefinition/location-oah</t>
  </si>
  <si>
    <t>Specimen</t>
  </si>
  <si>
    <t>Specimen.subject</t>
  </si>
  <si>
    <t>unmatched</t>
  </si>
  <si>
    <t>Specimen.collection.collectedDateTime</t>
  </si>
  <si>
    <t>Specimen.collection.collector</t>
  </si>
  <si>
    <t>if Specimen is used</t>
  </si>
  <si>
    <t>Location</t>
  </si>
  <si>
    <t>Location.identifier</t>
  </si>
  <si>
    <t>Location.name</t>
  </si>
  <si>
    <t>Location.position</t>
  </si>
  <si>
    <t>Location.extension[referenceForm]</t>
  </si>
  <si>
    <t>SampleOah2FHIR</t>
  </si>
  <si>
    <t>OAH Sample Model to this guide Map</t>
  </si>
  <si>
    <t>OAH Sample Model to this guide mapping</t>
  </si>
  <si>
    <t>remote</t>
  </si>
  <si>
    <t>Remote sensing indices</t>
  </si>
  <si>
    <t>Indices derived from satellite/UAV/airborne reflectance over water or riparian zones.</t>
  </si>
  <si>
    <t>remote.ndci</t>
  </si>
  <si>
    <t>Normalized Difference Chlorophyll Index (NDCI)</t>
  </si>
  <si>
    <t>Index from multispectral reflectance indicating chlorophyll.</t>
  </si>
  <si>
    <t>remote.mci</t>
  </si>
  <si>
    <t>Maximum Chlorophyll Index (MCI)</t>
  </si>
  <si>
    <t>index estimating high chlorophyll concentrations/blooms.</t>
  </si>
  <si>
    <t>remote.bwdrvi</t>
  </si>
  <si>
    <t>Blue Wide Dynamic Range Vegetation Index (BWDRVI)</t>
  </si>
  <si>
    <t>Index  from blue/NIR; sensitive to aquatic vegetation/high biomass.</t>
  </si>
  <si>
    <t>remote.evi</t>
  </si>
  <si>
    <t>Enhanced Vegetation Index (EVI)</t>
  </si>
  <si>
    <t>Index using blue, red, and NIR; reduces background/atmospheric effects.</t>
  </si>
  <si>
    <t>remote.ndvi</t>
  </si>
  <si>
    <t>Normalized Difference Vegetation Index (NDVI)</t>
  </si>
  <si>
    <t>Index for assessing vegetation health from NIR and red reflectance.</t>
  </si>
  <si>
    <t>remote.ndwi</t>
  </si>
  <si>
    <t>Normalized Difference Water Index (NDWI)</t>
  </si>
  <si>
    <t>Index from green and NIR; indicates water presence/moisture.</t>
  </si>
  <si>
    <t>remote.mndvi</t>
  </si>
  <si>
    <t>Modified Normalized Difference Vegetation Index (mNDVI)</t>
  </si>
  <si>
    <t>Modified NDVI</t>
  </si>
  <si>
    <t>remote.evi2</t>
  </si>
  <si>
    <t>Enhanced Vegetation Index  2 (EVI2)</t>
  </si>
  <si>
    <t>EVI without the blue band</t>
  </si>
  <si>
    <t>remote.savi</t>
  </si>
  <si>
    <t>remote.tsavi</t>
  </si>
  <si>
    <t>remote.lwci</t>
  </si>
  <si>
    <t>remote.gvmi</t>
  </si>
  <si>
    <t>remote.gemi</t>
  </si>
  <si>
    <t>remote.lai</t>
  </si>
  <si>
    <t>remote.glai</t>
  </si>
  <si>
    <t>remote.fapar</t>
  </si>
  <si>
    <t>remote.mndwi</t>
  </si>
  <si>
    <t>remote.andwi</t>
  </si>
  <si>
    <t>remote.s2wi</t>
  </si>
  <si>
    <t>remote.lswi</t>
  </si>
  <si>
    <t>remote.lst</t>
  </si>
  <si>
    <t>remote.blfei</t>
  </si>
  <si>
    <t>remote.brba</t>
  </si>
  <si>
    <t>remote.nbai</t>
  </si>
  <si>
    <t>remote.ibi</t>
  </si>
  <si>
    <t>remote.ebbi</t>
  </si>
  <si>
    <t>remote.pisi</t>
  </si>
  <si>
    <t>remote.ui</t>
  </si>
  <si>
    <t>remote.vibi</t>
  </si>
  <si>
    <t>Soil Adjusted Vegetation Index (SAVI)</t>
  </si>
  <si>
    <t>Soil-adjusted VI (unitless; needs L factor in method/notes)</t>
  </si>
  <si>
    <t>Transformed SAVI (unitless)</t>
  </si>
  <si>
    <t>Estimates relative leaf water content from spectral bands</t>
  </si>
  <si>
    <t>Detects vegetation water content using NIR and SWIR</t>
  </si>
  <si>
    <t>Global index for vegetation monitoring with reduced atmospheric effects</t>
  </si>
  <si>
    <t>Leaf surface area per ground area (m²/m²)</t>
  </si>
  <si>
    <t>Green leaf surface area per ground area (m²/m²)</t>
  </si>
  <si>
    <t>Fraction of absorbed photosynthetically active radiation</t>
  </si>
  <si>
    <t>Modified NDWI improving open water detection in urban areas</t>
  </si>
  <si>
    <t>NDWI variant enhancing water body separation</t>
  </si>
  <si>
    <t>Sentinel-2 specific water index</t>
  </si>
  <si>
    <t>Detects water content in vegetation and soil</t>
  </si>
  <si>
    <t>Combined vegetation and water index model</t>
  </si>
  <si>
    <t>Land surface temperature in Kelvin or Celsius</t>
  </si>
  <si>
    <t>Extracts built-up land features from spectral data</t>
  </si>
  <si>
    <t>Band ratio index for built-up area detection</t>
  </si>
  <si>
    <t>Normalized index for built-up area identification</t>
  </si>
  <si>
    <t>Built-up detection using multi-index combination</t>
  </si>
  <si>
    <t>Enhances contrast between built-up and bare areas</t>
  </si>
  <si>
    <t>Measures impervious surface presence</t>
  </si>
  <si>
    <t>Differentiates urban from vegetation areas</t>
  </si>
  <si>
    <t>Combines vegetation and built-up indices for urban analysis</t>
  </si>
  <si>
    <t>Leaf Water Content Index (LWCI)</t>
  </si>
  <si>
    <t>Global Vegetation Moisture Index (GVMI)</t>
  </si>
  <si>
    <t>Global Environment Monitoring Index (GEMI)</t>
  </si>
  <si>
    <t>Leaf Area Index (LAI)</t>
  </si>
  <si>
    <t>Green Leaf Area Index (GLAI)</t>
  </si>
  <si>
    <t>Fraction of Absorbed Photosynthetically Active Radiation (FAPAR)</t>
  </si>
  <si>
    <t>Modified Normalized Difference Water Index (MNDWI)</t>
  </si>
  <si>
    <t>Augmented Normalized Difference Water Index (ANDWI)</t>
  </si>
  <si>
    <t>Sentinel-2 Water Index (S2WI)</t>
  </si>
  <si>
    <t>Land Surface Water Index (LSWI)</t>
  </si>
  <si>
    <t>NDVI–MNDWI Model</t>
  </si>
  <si>
    <t>Land Surface Temperature (LST)</t>
  </si>
  <si>
    <t>Built-Up Land Features Extraction Index (BLFEI)</t>
  </si>
  <si>
    <t>Band Ratio for Built-up Area (BRBA)</t>
  </si>
  <si>
    <t>Normalized Built-up Area Index (NBAI)</t>
  </si>
  <si>
    <t>Index-Based Built-Up Index (IBI)</t>
  </si>
  <si>
    <t>Enhanced Built-Up and Bareness Index (EBBI)</t>
  </si>
  <si>
    <t>Perpendicular Impervious Surface Index (PISI)</t>
  </si>
  <si>
    <t>Urban Index (UI)</t>
  </si>
  <si>
    <t>Vegetation Index Built-up Index (VIBI)</t>
  </si>
  <si>
    <t>Transformed Soil Adjusted Vegetation Index (TSAVI)</t>
  </si>
  <si>
    <t>remote.ndviMndwiModel</t>
  </si>
  <si>
    <t>diseasePrevalence</t>
  </si>
  <si>
    <t>% of people with long-term disease</t>
  </si>
  <si>
    <t>% of people without  long-term disease</t>
  </si>
  <si>
    <t>% of people with BMI &lt;18,5</t>
  </si>
  <si>
    <t>% of people with BMI 18,5-24,9</t>
  </si>
  <si>
    <t>% of people with BMI 25-29,9</t>
  </si>
  <si>
    <t>% of people with BMI =&gt;30</t>
  </si>
  <si>
    <t>% of people that have or have had Diabetes, COPD or Cardiovascular disease</t>
  </si>
  <si>
    <t>% of people that do not have Diabetes, COPD or Cardiovascular disease</t>
  </si>
  <si>
    <t>% of people experience with mental health issues</t>
  </si>
  <si>
    <t>% of people with Borrelia Burgdoferi</t>
  </si>
  <si>
    <t>% of people with Campylobacter</t>
  </si>
  <si>
    <t>% of people with Chlamydia Psittaci</t>
  </si>
  <si>
    <t>% of people with Cryptosporidium</t>
  </si>
  <si>
    <t>% of people with Entamoeba histolytica</t>
  </si>
  <si>
    <t>% of people with Escherichia Coli</t>
  </si>
  <si>
    <t>% of people with Giarda</t>
  </si>
  <si>
    <t>% of people with Salmonella</t>
  </si>
  <si>
    <t>% of people with Yersinia enterocolitica</t>
  </si>
  <si>
    <t>% of people with Cases of Gastrointestinal diseases</t>
  </si>
  <si>
    <t>% of people with high blood pressure (prevalence)</t>
  </si>
  <si>
    <t>% of people under treatment for hypertension</t>
  </si>
  <si>
    <t>% of people under treatment for high blood pressure</t>
  </si>
  <si>
    <t>% of people affected from obesity</t>
  </si>
  <si>
    <t>% of people under treatment for hypercholesterolemia</t>
  </si>
  <si>
    <t xml:space="preserve">% of people with high blood sugar/diabetes </t>
  </si>
  <si>
    <t>% of people under treatment for diabetes</t>
  </si>
  <si>
    <t>% of people not engaging in physical activity</t>
  </si>
  <si>
    <t>% of people affected from CVD</t>
  </si>
  <si>
    <t>diseasePrevalence.highBloodPression</t>
  </si>
  <si>
    <t>diseasePrevalence.hypertension</t>
  </si>
  <si>
    <t>diseasePrevalence.highBloodPressionTreatment</t>
  </si>
  <si>
    <t>diseasePrevalence.obesity</t>
  </si>
  <si>
    <t>diseasePrevalence.cholesterolemia190</t>
  </si>
  <si>
    <t>diseasePrevalence.hypercholesterolemiaTreatment</t>
  </si>
  <si>
    <t>diseasePrevalence.cholesterolemia240</t>
  </si>
  <si>
    <t>diseasePrevalence.diabetes</t>
  </si>
  <si>
    <t>diseasePrevalence.diabetesTreatment</t>
  </si>
  <si>
    <t>diseasePrevalence.noPhysicalActivity</t>
  </si>
  <si>
    <t>diseasePrevalence.cvd</t>
  </si>
  <si>
    <t>diseasePrevalence.gastrointestinal</t>
  </si>
  <si>
    <t>diseasePrevalence.longTermDisease</t>
  </si>
  <si>
    <t>diseasePrevalence.noLongTermDisease</t>
  </si>
  <si>
    <t>diseasePrevalence.bmiBelow18</t>
  </si>
  <si>
    <t>diseasePrevalence.bmiBelow25</t>
  </si>
  <si>
    <t>diseasePrevalence.bmiBelow30</t>
  </si>
  <si>
    <t>diseasePrevalence.bmiAbove30</t>
  </si>
  <si>
    <t>diseasePrevalence.diabateCopdCvd</t>
  </si>
  <si>
    <t>diseasePrevalence.noDiabateCopdCvd</t>
  </si>
  <si>
    <t>diseasePrevalence.mentalHealth</t>
  </si>
  <si>
    <t>diseasePrevalence.borrelia</t>
  </si>
  <si>
    <t>diseasePrevalence.campylobacter</t>
  </si>
  <si>
    <t>diseasePrevalence.chlamydia</t>
  </si>
  <si>
    <t>diseasePrevalence.cryptosporidium</t>
  </si>
  <si>
    <t>diseasePrevalence.entamoeba</t>
  </si>
  <si>
    <t>diseasePrevalence.escherichiaColi</t>
  </si>
  <si>
    <t>diseasePrevalence.giarda</t>
  </si>
  <si>
    <t>diseasePrevalence.salmonella</t>
  </si>
  <si>
    <t>diseasePrevalence.yersiniaEnterocolitica</t>
  </si>
  <si>
    <t>HealthIndicatorsOah</t>
  </si>
  <si>
    <t>HealthIndicators</t>
  </si>
  <si>
    <t>Health Indicators</t>
  </si>
  <si>
    <t>Set of OneAquaHealth Health and Wellness indicators</t>
  </si>
  <si>
    <t>HealthIndicatorsOah2FHIR</t>
  </si>
  <si>
    <t>Cases of disease prevalence per 100.000 inhabitants, per district, for each of the causes considered as relatable to the project</t>
  </si>
  <si>
    <t>Cases of disease prevalence</t>
  </si>
  <si>
    <t>dateOrPeriod[x]</t>
  </si>
  <si>
    <t>dateTime or Period</t>
  </si>
  <si>
    <t>Measure Date or Period</t>
  </si>
  <si>
    <t>Type of indicator : e.g. % of people with Giarda</t>
  </si>
  <si>
    <t>cohort</t>
  </si>
  <si>
    <t>Cohort</t>
  </si>
  <si>
    <t>Group</t>
  </si>
  <si>
    <t>Group of people who share a common characteristic.</t>
  </si>
  <si>
    <t>Observation.effective[x]</t>
  </si>
  <si>
    <t>Observation.focus</t>
  </si>
  <si>
    <t>HealthMeasureOah</t>
  </si>
  <si>
    <t>HealthMeasure</t>
  </si>
  <si>
    <t>Health measure</t>
  </si>
  <si>
    <t>Model describing the common attributes of a simple health and wellness indicator</t>
  </si>
  <si>
    <t>HealthMeasureOah2FHIR</t>
  </si>
  <si>
    <t>% of people with high total cholesterolemia (&gt;=190 mg/dl)</t>
  </si>
  <si>
    <t>% of people with high total cholesterolemia (&gt;=240 mg/dl)</t>
  </si>
  <si>
    <t>http://hl7.eu/fhir/ig/oah/StructureDefinition/observation-health-measure-oah</t>
  </si>
  <si>
    <t>http://hl7.eu/fhir/ig/oah/StructureDefinition/group-oah</t>
  </si>
  <si>
    <t>causesOfDeath</t>
  </si>
  <si>
    <t>causesOfDeath.tbc</t>
  </si>
  <si>
    <t>causesOfDeath.viralHepatitis</t>
  </si>
  <si>
    <t>causesOfDeath.infectiveAndParasitic</t>
  </si>
  <si>
    <t>causesOfDeath.bloodAndHematopoieticOrgans</t>
  </si>
  <si>
    <t>causesOfDeath.diabetesMellitus</t>
  </si>
  <si>
    <t>causesOfDeath.endocrineNutritionalMetabolic</t>
  </si>
  <si>
    <t>causesOfDeath.ischemicHeart</t>
  </si>
  <si>
    <t>causesOfDeath.otherHeart</t>
  </si>
  <si>
    <t xml:space="preserve">causesOfDeath.otherCirculatorySystem </t>
  </si>
  <si>
    <t>causesOfDeath.pneumonia</t>
  </si>
  <si>
    <t>causesOfDeath.chronicLowerRespiratory</t>
  </si>
  <si>
    <t>causesOfDeath.otherRespiratorySystem</t>
  </si>
  <si>
    <t>causesOfDeath.SkinSubcutaneousTissue</t>
  </si>
  <si>
    <t>causesOfDeath.accidentalPoisoning</t>
  </si>
  <si>
    <t>% of deaths due to TBC</t>
  </si>
  <si>
    <t>% of deaths due to Viral Hepatitis</t>
  </si>
  <si>
    <t>% of deaths due to infective and parasitic diseases</t>
  </si>
  <si>
    <t>% of deaths due to diseases of the blood and hematopoietic organs</t>
  </si>
  <si>
    <t>% of deaths due to Diabetes Mellitus</t>
  </si>
  <si>
    <t>% of deaths due to endocrine, nutritional and metabolic diseases</t>
  </si>
  <si>
    <t>% of deaths due to ischemic diseases of the heart</t>
  </si>
  <si>
    <t>% of deaths due to other diseases of the heart</t>
  </si>
  <si>
    <t xml:space="preserve">% of deaths due to other diseases of the circulatory system </t>
  </si>
  <si>
    <t>% of deaths due to Pneumonia</t>
  </si>
  <si>
    <t>% of deaths due to chronic diseases of the lower respiratory tract</t>
  </si>
  <si>
    <t>% of deaths due to other diseases of the respiratory system</t>
  </si>
  <si>
    <t>% of deaths due to diseases of the skin and subcutaneous tissue</t>
  </si>
  <si>
    <t>% of deaths due to accidental poisoning</t>
  </si>
  <si>
    <t>% of deaths due to cancer</t>
  </si>
  <si>
    <t>% of deaths due to cardiovascular disease</t>
  </si>
  <si>
    <t>% of deaths due to respiratory disease</t>
  </si>
  <si>
    <t>% of deaths due to COPD and lung cancer</t>
  </si>
  <si>
    <t>% of deaths due to all causes</t>
  </si>
  <si>
    <t>% of deaths due to diabetes</t>
  </si>
  <si>
    <t>% of deaths due to Malignant Tumors</t>
  </si>
  <si>
    <t xml:space="preserve">% of deaths due to Healthcare-Sensitive Causes </t>
  </si>
  <si>
    <t>% of Excess Mortality in Winter</t>
  </si>
  <si>
    <t>causesOfDeath.malignantTumor</t>
  </si>
  <si>
    <t xml:space="preserve">causesOfDeath.healthcareSensitiveCauses </t>
  </si>
  <si>
    <t>causesOfDeath.winterExcess</t>
  </si>
  <si>
    <t>causesOfDeath.all</t>
  </si>
  <si>
    <t>causesOfDeath.cancer</t>
  </si>
  <si>
    <t>causesOfDeath.diabetes</t>
  </si>
  <si>
    <t>causesOfDeath.COPDLungCancer</t>
  </si>
  <si>
    <t>Cases of death</t>
  </si>
  <si>
    <t>Cases of death per 100.000 inhabitants, per district, for each of the causes considered as relatable to the project</t>
  </si>
  <si>
    <t>% of hospitalizations due to Diabetes Mellitus</t>
  </si>
  <si>
    <t xml:space="preserve">% of hospitalizations due to Diabetes Mellitus (No. per 100,000 inhabitants) </t>
  </si>
  <si>
    <t>% of hospitalizations due to malignant tumors</t>
  </si>
  <si>
    <t xml:space="preserve">% of hospitalizations due to malignant tumors (number per 100,000 inhabitants) 
</t>
  </si>
  <si>
    <t>% of hospitalizations due to Hypertension</t>
  </si>
  <si>
    <t xml:space="preserve">% of hospitalizations due to Hypertension (No. per 100,000 inhabitants) </t>
  </si>
  <si>
    <t>% of hospitalizations due to Circulatory System Diseases</t>
  </si>
  <si>
    <t xml:space="preserve">% of hospitalizations due to Circulatory System Diseases (No. per 100,000 inhabitants) </t>
  </si>
  <si>
    <t>% of hospitalizations due to respiratory diseases</t>
  </si>
  <si>
    <t xml:space="preserve">% of hospitalizations due to respiratory diseases (No. per 100,000 inhabitants) </t>
  </si>
  <si>
    <t>% of hospitalizations for Asthma</t>
  </si>
  <si>
    <t xml:space="preserve">% of hospitalizations for Asthma (No. per 100,000 inhabitants) </t>
  </si>
  <si>
    <t xml:space="preserve">% of hospitalizations avoidable by primary prevention
</t>
  </si>
  <si>
    <t xml:space="preserve">% of hospitalizations avoidable by primary prevention (No. per 100,000 inhabitants) 
</t>
  </si>
  <si>
    <t>hospitalization</t>
  </si>
  <si>
    <t>causesOfDeath.cardiovascular</t>
  </si>
  <si>
    <t>causesOfDeath.respiratory</t>
  </si>
  <si>
    <t>hospitalization.diabetesMellitus</t>
  </si>
  <si>
    <t>hospitalization.malignantTumor</t>
  </si>
  <si>
    <t>hospitalization.cardiovascular</t>
  </si>
  <si>
    <t>hospitalization.respiratory</t>
  </si>
  <si>
    <t>hospitalization.hypertension</t>
  </si>
  <si>
    <t>hospitalization.asthma</t>
  </si>
  <si>
    <t>hospitalization.avoidablePrimaryPrevention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</si>
</sst>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u/>
      <sz val="11"/>
      <color theme="10"/>
      <name val="Calibri"/>
      <family val="2"/>
    </font>
    <font>
      <b/>
      <sz val="11"/>
      <color theme="1"/>
      <name val="Calibri"/>
      <family val="2"/>
      <scheme val="minor"/>
    </font>
    <font>
      <u/>
      <sz val="11"/>
      <color theme="1"/>
      <name val="Calibri"/>
      <family val="2"/>
      <scheme val="minor"/>
    </font>
    <font>
      <sz val="11"/>
      <color theme="10"/>
      <name val="Calibri"/>
      <family val="2"/>
    </font>
    <font>
      <u/>
      <sz val="11"/>
      <color theme="10"/>
      <name val="Calibri"/>
      <family val="2"/>
      <scheme val="minor"/>
    </font>
    <font>
      <sz val="12"/>
      <color rgb="FF000000"/>
      <name val="Calibri"/>
      <family val="2"/>
      <scheme val="minor"/>
    </font>
    <font>
      <sz val="8"/>
      <name val="Calibri"/>
      <family val="2"/>
      <scheme val="minor"/>
    </font>
    <font>
      <sz val="11"/>
      <color theme="1"/>
      <name val="Calibri"/>
      <family val="2"/>
      <scheme val="minor"/>
    </font>
    <font>
      <sz val="12"/>
      <color theme="1"/>
      <name val="Calibri"/>
      <family val="2"/>
    </font>
    <font>
      <sz val="12"/>
      <color rgb="FF000000"/>
      <name val="Calibri"/>
      <family val="2"/>
    </font>
    <font>
      <sz val="12"/>
      <color theme="1"/>
      <name val="Calibri"/>
      <family val="2"/>
      <scheme val="minor"/>
    </font>
    <font>
      <b/>
      <sz val="12"/>
      <color rgb="FF000000"/>
      <name val="Calibri"/>
      <family val="2"/>
    </font>
  </fonts>
  <fills count="13">
    <fill>
      <patternFill patternType="none"/>
    </fill>
    <fill>
      <patternFill patternType="gray125"/>
    </fill>
    <fill>
      <patternFill patternType="solid">
        <fgColor rgb="FFFFFF00"/>
        <bgColor indexed="64"/>
      </patternFill>
    </fill>
    <fill>
      <patternFill patternType="solid">
        <fgColor theme="2"/>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7" tint="0.79998168889431442"/>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000000"/>
      </left>
      <right/>
      <top style="thin">
        <color rgb="FF000000"/>
      </top>
      <bottom style="thin">
        <color rgb="FF000000"/>
      </bottom>
      <diagonal/>
    </border>
  </borders>
  <cellStyleXfs count="5">
    <xf numFmtId="0" fontId="0" fillId="0" borderId="0"/>
    <xf numFmtId="0" fontId="1" fillId="0" borderId="0" applyNumberFormat="0" applyFill="0" applyBorder="0" applyAlignment="0" applyProtection="0">
      <alignment vertical="top"/>
      <protection locked="0"/>
    </xf>
    <xf numFmtId="0" fontId="5" fillId="0" borderId="0" applyNumberFormat="0" applyFill="0" applyBorder="0" applyAlignment="0" applyProtection="0"/>
    <xf numFmtId="0" fontId="8" fillId="0" borderId="0"/>
    <xf numFmtId="0" fontId="11" fillId="0" borderId="0"/>
  </cellStyleXfs>
  <cellXfs count="63">
    <xf numFmtId="0" fontId="0" fillId="0" borderId="0" xfId="0"/>
    <xf numFmtId="0" fontId="1" fillId="0" borderId="0" xfId="1" applyAlignment="1" applyProtection="1"/>
    <xf numFmtId="0" fontId="2" fillId="0" borderId="1" xfId="0" applyFont="1" applyBorder="1" applyAlignment="1">
      <alignment horizontal="center" vertical="top"/>
    </xf>
    <xf numFmtId="0" fontId="3" fillId="0" borderId="0" xfId="0" applyFont="1"/>
    <xf numFmtId="0" fontId="2" fillId="0" borderId="1" xfId="0" applyFont="1" applyBorder="1" applyAlignment="1">
      <alignment horizontal="center" vertical="top" wrapText="1"/>
    </xf>
    <xf numFmtId="0" fontId="0" fillId="0" borderId="0" xfId="0" applyAlignment="1">
      <alignment wrapText="1"/>
    </xf>
    <xf numFmtId="0" fontId="0" fillId="0" borderId="1" xfId="0" applyBorder="1"/>
    <xf numFmtId="0" fontId="1" fillId="0" borderId="1" xfId="1" applyBorder="1" applyAlignment="1" applyProtection="1"/>
    <xf numFmtId="0" fontId="0" fillId="0" borderId="1" xfId="0" applyBorder="1" applyAlignment="1">
      <alignment wrapText="1"/>
    </xf>
    <xf numFmtId="0" fontId="3" fillId="0" borderId="1" xfId="0" applyFont="1" applyBorder="1"/>
    <xf numFmtId="0" fontId="4" fillId="0" borderId="1" xfId="1" applyFont="1" applyBorder="1" applyAlignment="1" applyProtection="1"/>
    <xf numFmtId="0" fontId="0" fillId="2" borderId="1" xfId="0" applyFill="1" applyBorder="1"/>
    <xf numFmtId="0" fontId="3" fillId="0" borderId="1" xfId="0" applyFont="1" applyBorder="1" applyAlignment="1">
      <alignment wrapText="1"/>
    </xf>
    <xf numFmtId="0" fontId="2" fillId="0" borderId="1" xfId="0" applyFont="1" applyBorder="1"/>
    <xf numFmtId="0" fontId="2" fillId="0" borderId="0" xfId="0" applyFont="1"/>
    <xf numFmtId="0" fontId="2" fillId="0" borderId="1" xfId="0" applyFont="1" applyBorder="1" applyAlignment="1">
      <alignment wrapText="1"/>
    </xf>
    <xf numFmtId="0" fontId="2" fillId="0" borderId="2" xfId="0" applyFont="1" applyBorder="1" applyAlignment="1">
      <alignment horizontal="center" vertical="top"/>
    </xf>
    <xf numFmtId="0" fontId="0" fillId="0" borderId="1" xfId="0" applyBorder="1" applyAlignment="1">
      <alignment vertical="center" wrapText="1"/>
    </xf>
    <xf numFmtId="0" fontId="0" fillId="0" borderId="1" xfId="0" applyBorder="1" applyAlignment="1">
      <alignment horizontal="left" vertical="center" wrapText="1"/>
    </xf>
    <xf numFmtId="0" fontId="0" fillId="0" borderId="1" xfId="0" applyBorder="1" applyAlignment="1">
      <alignment horizontal="justify" vertical="center" wrapText="1"/>
    </xf>
    <xf numFmtId="0" fontId="0" fillId="4" borderId="0" xfId="0" applyFill="1"/>
    <xf numFmtId="0" fontId="0" fillId="5" borderId="0" xfId="0" applyFill="1"/>
    <xf numFmtId="0" fontId="0" fillId="6" borderId="0" xfId="0" applyFill="1"/>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3" borderId="1" xfId="0" applyFill="1" applyBorder="1"/>
    <xf numFmtId="0" fontId="0" fillId="2" borderId="1" xfId="0" applyFill="1" applyBorder="1" applyAlignment="1">
      <alignment wrapText="1"/>
    </xf>
    <xf numFmtId="0" fontId="0" fillId="3" borderId="1" xfId="0" applyFill="1" applyBorder="1" applyAlignment="1">
      <alignment wrapText="1"/>
    </xf>
    <xf numFmtId="0" fontId="0" fillId="0" borderId="3" xfId="0" applyBorder="1"/>
    <xf numFmtId="0" fontId="0" fillId="0" borderId="3" xfId="0" applyBorder="1" applyAlignment="1">
      <alignment wrapText="1"/>
    </xf>
    <xf numFmtId="0" fontId="0" fillId="3" borderId="3" xfId="0" applyFill="1" applyBorder="1" applyAlignment="1">
      <alignment wrapText="1"/>
    </xf>
    <xf numFmtId="0" fontId="0" fillId="3" borderId="1" xfId="0" applyFill="1" applyBorder="1" applyAlignment="1">
      <alignment vertical="center" wrapText="1"/>
    </xf>
    <xf numFmtId="0" fontId="0" fillId="3" borderId="1" xfId="0" applyFill="1" applyBorder="1" applyAlignment="1">
      <alignment horizontal="justify" vertical="center" wrapText="1"/>
    </xf>
    <xf numFmtId="0" fontId="0" fillId="0" borderId="1" xfId="0" applyBorder="1" applyAlignment="1">
      <alignment horizontal="left"/>
    </xf>
    <xf numFmtId="0" fontId="0" fillId="4" borderId="1" xfId="0" applyFill="1" applyBorder="1"/>
    <xf numFmtId="0" fontId="0" fillId="7" borderId="1" xfId="0" applyFill="1" applyBorder="1"/>
    <xf numFmtId="0" fontId="0" fillId="4" borderId="1" xfId="0" applyFill="1" applyBorder="1" applyAlignment="1">
      <alignment vertical="center" wrapText="1"/>
    </xf>
    <xf numFmtId="0" fontId="0" fillId="0" borderId="2" xfId="0" applyBorder="1" applyAlignment="1">
      <alignment wrapText="1"/>
    </xf>
    <xf numFmtId="0" fontId="0" fillId="0" borderId="2" xfId="0" applyBorder="1"/>
    <xf numFmtId="0" fontId="1" fillId="0" borderId="1" xfId="1" applyFill="1" applyBorder="1" applyAlignment="1" applyProtection="1"/>
    <xf numFmtId="0" fontId="0" fillId="2" borderId="3" xfId="0" applyFill="1" applyBorder="1"/>
    <xf numFmtId="0" fontId="3" fillId="0" borderId="0" xfId="0" applyFont="1" applyAlignment="1">
      <alignment wrapText="1"/>
    </xf>
    <xf numFmtId="0" fontId="6" fillId="0" borderId="4" xfId="0" applyFont="1" applyBorder="1" applyAlignment="1">
      <alignment vertical="center" wrapText="1"/>
    </xf>
    <xf numFmtId="0" fontId="6" fillId="0" borderId="1" xfId="0" applyFont="1" applyBorder="1" applyAlignment="1">
      <alignment vertical="top" wrapText="1"/>
    </xf>
    <xf numFmtId="0" fontId="6" fillId="0" borderId="1" xfId="0" applyFont="1" applyBorder="1" applyAlignment="1">
      <alignment horizontal="left" vertical="center" wrapText="1"/>
    </xf>
    <xf numFmtId="0" fontId="6" fillId="0" borderId="1" xfId="0" applyFont="1" applyBorder="1" applyAlignment="1">
      <alignment vertical="center"/>
    </xf>
    <xf numFmtId="0" fontId="6" fillId="8" borderId="1" xfId="0" applyFont="1" applyFill="1" applyBorder="1" applyAlignment="1">
      <alignment horizontal="left" vertical="center" wrapText="1"/>
    </xf>
    <xf numFmtId="0" fontId="6" fillId="8" borderId="4" xfId="0" applyFont="1" applyFill="1" applyBorder="1" applyAlignment="1">
      <alignment vertical="center" wrapText="1"/>
    </xf>
    <xf numFmtId="0" fontId="0" fillId="3" borderId="3" xfId="0" applyFill="1" applyBorder="1"/>
    <xf numFmtId="0" fontId="2" fillId="0" borderId="2" xfId="0" applyFont="1" applyBorder="1" applyAlignment="1">
      <alignment horizontal="center" vertical="top" wrapText="1"/>
    </xf>
    <xf numFmtId="0" fontId="9" fillId="0" borderId="1" xfId="3" applyFont="1" applyBorder="1" applyAlignment="1">
      <alignment vertical="center"/>
    </xf>
    <xf numFmtId="0" fontId="10" fillId="0" borderId="1" xfId="3" applyFont="1" applyBorder="1" applyAlignment="1">
      <alignment vertical="center"/>
    </xf>
    <xf numFmtId="0" fontId="12" fillId="0" borderId="0" xfId="4" applyFont="1" applyAlignment="1">
      <alignment vertical="center"/>
    </xf>
    <xf numFmtId="0" fontId="12" fillId="0" borderId="0" xfId="3" applyFont="1" applyAlignment="1">
      <alignment vertical="center"/>
    </xf>
    <xf numFmtId="0" fontId="11" fillId="0" borderId="1" xfId="4" applyBorder="1" applyAlignment="1">
      <alignment vertical="center"/>
    </xf>
    <xf numFmtId="0" fontId="0" fillId="9" borderId="3" xfId="0" applyFill="1" applyBorder="1"/>
    <xf numFmtId="0" fontId="0" fillId="10" borderId="3" xfId="0" applyFill="1" applyBorder="1"/>
    <xf numFmtId="0" fontId="0" fillId="8" borderId="0" xfId="0" applyFill="1"/>
    <xf numFmtId="0" fontId="6" fillId="0" borderId="0" xfId="0" applyFont="1" applyFill="1" applyBorder="1" applyAlignment="1">
      <alignment vertical="center" wrapText="1"/>
    </xf>
    <xf numFmtId="0" fontId="0" fillId="11" borderId="0" xfId="0" applyFill="1"/>
    <xf numFmtId="0" fontId="0" fillId="12" borderId="3" xfId="0" applyFill="1" applyBorder="1"/>
    <xf numFmtId="0" fontId="0" fillId="12" borderId="1" xfId="0" applyFill="1" applyBorder="1"/>
  </cellXfs>
  <cellStyles count="5">
    <cellStyle name="Collegamento ipertestuale" xfId="1" builtinId="8"/>
    <cellStyle name="Collegamento ipertestuale 2" xfId="2" xr:uid="{2FCB844D-8848-4EB2-8C88-A6D12B4D0B5A}"/>
    <cellStyle name="Normale" xfId="0" builtinId="0"/>
    <cellStyle name="Normale 2 2" xfId="3" xr:uid="{4D65F763-B5AF-4AB8-93D2-357F01C3F710}"/>
    <cellStyle name="Normale 3" xfId="4" xr:uid="{847AE9A0-1614-4FE4-A0CF-6F1B7AAADF2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workspace\xpandh-hdr\src-models\xpandh-hdr-model-maps.xlsm" TargetMode="External"/><Relationship Id="rId1" Type="http://schemas.openxmlformats.org/officeDocument/2006/relationships/externalLinkPath" Target="/workspace/xpandh-hdr/src-models/xpandh-hdr-model-maps.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spital Discharge Report "/>
      <sheetName val="HospitalDischargeReport"/>
      <sheetName val="HospitalDischargeReport-Map-1"/>
      <sheetName val="HospitalDischargeReport-fsh"/>
      <sheetName val="HospitalDischargeRep-ConceptMap"/>
      <sheetName val="HospitalDischargeReport-CM-fsh"/>
      <sheetName val="HDR-SK"/>
      <sheetName val="HospitalDischargeReportSK"/>
      <sheetName val="HospitalDischargeReportSK-Map"/>
      <sheetName val="HospitalDischargeReportSK-fsh"/>
      <sheetName val="Subject"/>
      <sheetName val="Subject-Map-1"/>
      <sheetName val="Subject-fsh"/>
      <sheetName val="Subject-ConceptMap"/>
      <sheetName val="Subject-CM-fsh"/>
      <sheetName val="Staging"/>
      <sheetName val="Staging-Map-1"/>
      <sheetName val="Staging-fsh"/>
      <sheetName val="Staging-ConceptMap"/>
      <sheetName val="Staging-CM-fsh"/>
      <sheetName val="Treatment"/>
      <sheetName val="Treatment-Map-1"/>
      <sheetName val="Treatment-fsh"/>
      <sheetName val="Treatment-ConceptMap"/>
      <sheetName val="Treatment-CM-fsh"/>
      <sheetName val="ConvertOsiris"/>
      <sheetName val="Osiris"/>
      <sheetName val="Osiris-Map"/>
      <sheetName val="Osiris-fsh-noMap"/>
      <sheetName val="Osiris-fsh"/>
      <sheetName val="Osiris-ConceptMap"/>
      <sheetName val="Osiris-CM-fsh"/>
      <sheetName val="Foglio2"/>
      <sheetName val="xpandh-hdr-model-map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terminology.hl7.it/ConceptMap/ConceptMap-subject2osiris" TargetMode="External"/><Relationship Id="rId3" Type="http://schemas.openxmlformats.org/officeDocument/2006/relationships/hyperlink" Target="http://terminology.hl7.it/ConceptMap/ConceptMap-subject2osiris" TargetMode="External"/><Relationship Id="rId7" Type="http://schemas.openxmlformats.org/officeDocument/2006/relationships/hyperlink" Target="HealthIndicatorsOah2FHIR" TargetMode="External"/><Relationship Id="rId2" Type="http://schemas.openxmlformats.org/officeDocument/2006/relationships/hyperlink" Target="http://terminology.hl7.it/ConceptMap/ConceptMap-subject2osiris" TargetMode="External"/><Relationship Id="rId1" Type="http://schemas.openxmlformats.org/officeDocument/2006/relationships/hyperlink" Target="http://terminology.hl7.it/ConceptMap/ConceptMap-subject2osiris" TargetMode="External"/><Relationship Id="rId6" Type="http://schemas.openxmlformats.org/officeDocument/2006/relationships/hyperlink" Target="http://terminology.hl7.it/ConceptMap/ConceptMap-subject2osiris" TargetMode="External"/><Relationship Id="rId5" Type="http://schemas.openxmlformats.org/officeDocument/2006/relationships/hyperlink" Target="http://terminology.hl7.it/ConceptMap/ConceptMap-subject2osiris" TargetMode="External"/><Relationship Id="rId4" Type="http://schemas.openxmlformats.org/officeDocument/2006/relationships/hyperlink" Target="http://terminology.hl7.it/ConceptMap/ConceptMap-subject2osiris"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ealthMeasureOah"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hl7.eu/fhir/ig/oah/StructureDefinition/observation-health-measure-oah" TargetMode="External"/><Relationship Id="rId18" Type="http://schemas.openxmlformats.org/officeDocument/2006/relationships/hyperlink" Target="http://hl7.eu/fhir/ig/oah/StructureDefinition/observation-health-measure-oah" TargetMode="External"/><Relationship Id="rId26" Type="http://schemas.openxmlformats.org/officeDocument/2006/relationships/hyperlink" Target="http://hl7.eu/fhir/ig/oah/StructureDefinition/observation-health-measure-oah" TargetMode="External"/><Relationship Id="rId3" Type="http://schemas.openxmlformats.org/officeDocument/2006/relationships/hyperlink" Target="http://hl7.eu/fhir/ig/oah/StructureDefinition/observation-health-measure-oah" TargetMode="External"/><Relationship Id="rId21" Type="http://schemas.openxmlformats.org/officeDocument/2006/relationships/hyperlink" Target="http://hl7.eu/fhir/ig/oah/StructureDefinition/observation-health-measure-oah" TargetMode="External"/><Relationship Id="rId34" Type="http://schemas.openxmlformats.org/officeDocument/2006/relationships/hyperlink" Target="http://hl7.eu/fhir/ig/oah/StructureDefinition/observation-health-measure-oah" TargetMode="External"/><Relationship Id="rId7" Type="http://schemas.openxmlformats.org/officeDocument/2006/relationships/hyperlink" Target="http://hl7.eu/fhir/ig/oah/StructureDefinition/observation-health-measure-oah" TargetMode="External"/><Relationship Id="rId12" Type="http://schemas.openxmlformats.org/officeDocument/2006/relationships/hyperlink" Target="http://hl7.eu/fhir/ig/oah/StructureDefinition/observation-health-measure-oah" TargetMode="External"/><Relationship Id="rId17" Type="http://schemas.openxmlformats.org/officeDocument/2006/relationships/hyperlink" Target="http://hl7.eu/fhir/ig/oah/StructureDefinition/observation-health-measure-oah" TargetMode="External"/><Relationship Id="rId25" Type="http://schemas.openxmlformats.org/officeDocument/2006/relationships/hyperlink" Target="http://hl7.eu/fhir/ig/oah/StructureDefinition/observation-health-measure-oah" TargetMode="External"/><Relationship Id="rId33" Type="http://schemas.openxmlformats.org/officeDocument/2006/relationships/hyperlink" Target="http://hl7.eu/fhir/ig/oah/StructureDefinition/observation-health-measure-oah" TargetMode="External"/><Relationship Id="rId2" Type="http://schemas.openxmlformats.org/officeDocument/2006/relationships/hyperlink" Target="http://hl7.eu/fhir/ig/oah/StructureDefinition/observation-health-measure-oah" TargetMode="External"/><Relationship Id="rId16" Type="http://schemas.openxmlformats.org/officeDocument/2006/relationships/hyperlink" Target="http://hl7.eu/fhir/ig/oah/StructureDefinition/observation-health-measure-oah" TargetMode="External"/><Relationship Id="rId20" Type="http://schemas.openxmlformats.org/officeDocument/2006/relationships/hyperlink" Target="http://hl7.eu/fhir/ig/oah/StructureDefinition/observation-health-measure-oah" TargetMode="External"/><Relationship Id="rId29" Type="http://schemas.openxmlformats.org/officeDocument/2006/relationships/hyperlink" Target="http://hl7.eu/fhir/ig/oah/StructureDefinition/observation-health-measure-oah" TargetMode="External"/><Relationship Id="rId1" Type="http://schemas.openxmlformats.org/officeDocument/2006/relationships/hyperlink" Target="http://hl7.eu/fhir/hdr/StructureDefinition/composition-eu-hdr" TargetMode="External"/><Relationship Id="rId6" Type="http://schemas.openxmlformats.org/officeDocument/2006/relationships/hyperlink" Target="http://hl7.eu/fhir/ig/oah/StructureDefinition/observation-health-measure-oah" TargetMode="External"/><Relationship Id="rId11" Type="http://schemas.openxmlformats.org/officeDocument/2006/relationships/hyperlink" Target="http://hl7.eu/fhir/ig/oah/StructureDefinition/observation-health-measure-oah" TargetMode="External"/><Relationship Id="rId24" Type="http://schemas.openxmlformats.org/officeDocument/2006/relationships/hyperlink" Target="http://hl7.eu/fhir/ig/oah/StructureDefinition/observation-health-measure-oah" TargetMode="External"/><Relationship Id="rId32" Type="http://schemas.openxmlformats.org/officeDocument/2006/relationships/hyperlink" Target="http://hl7.eu/fhir/ig/oah/StructureDefinition/observation-health-measure-oah" TargetMode="External"/><Relationship Id="rId5" Type="http://schemas.openxmlformats.org/officeDocument/2006/relationships/hyperlink" Target="http://hl7.eu/fhir/ig/oah/StructureDefinition/observation-health-measure-oah" TargetMode="External"/><Relationship Id="rId15" Type="http://schemas.openxmlformats.org/officeDocument/2006/relationships/hyperlink" Target="http://hl7.eu/fhir/ig/oah/StructureDefinition/observation-health-measure-oah" TargetMode="External"/><Relationship Id="rId23" Type="http://schemas.openxmlformats.org/officeDocument/2006/relationships/hyperlink" Target="http://hl7.eu/fhir/ig/oah/StructureDefinition/observation-health-measure-oah" TargetMode="External"/><Relationship Id="rId28" Type="http://schemas.openxmlformats.org/officeDocument/2006/relationships/hyperlink" Target="http://hl7.eu/fhir/ig/oah/StructureDefinition/observation-health-measure-oah" TargetMode="External"/><Relationship Id="rId36" Type="http://schemas.openxmlformats.org/officeDocument/2006/relationships/printerSettings" Target="../printerSettings/printerSettings3.bin"/><Relationship Id="rId10" Type="http://schemas.openxmlformats.org/officeDocument/2006/relationships/hyperlink" Target="http://hl7.eu/fhir/ig/oah/StructureDefinition/observation-health-measure-oah" TargetMode="External"/><Relationship Id="rId19" Type="http://schemas.openxmlformats.org/officeDocument/2006/relationships/hyperlink" Target="http://hl7.eu/fhir/ig/oah/StructureDefinition/observation-health-measure-oah" TargetMode="External"/><Relationship Id="rId31" Type="http://schemas.openxmlformats.org/officeDocument/2006/relationships/hyperlink" Target="http://hl7.eu/fhir/ig/oah/StructureDefinition/observation-health-measure-oah" TargetMode="External"/><Relationship Id="rId4" Type="http://schemas.openxmlformats.org/officeDocument/2006/relationships/hyperlink" Target="http://hl7.eu/fhir/ig/oah/StructureDefinition/observation-health-measure-oah" TargetMode="External"/><Relationship Id="rId9" Type="http://schemas.openxmlformats.org/officeDocument/2006/relationships/hyperlink" Target="http://hl7.eu/fhir/ig/oah/StructureDefinition/observation-health-measure-oah" TargetMode="External"/><Relationship Id="rId14" Type="http://schemas.openxmlformats.org/officeDocument/2006/relationships/hyperlink" Target="http://hl7.eu/fhir/ig/oah/StructureDefinition/observation-health-measure-oah" TargetMode="External"/><Relationship Id="rId22" Type="http://schemas.openxmlformats.org/officeDocument/2006/relationships/hyperlink" Target="http://hl7.eu/fhir/ig/oah/StructureDefinition/observation-health-measure-oah" TargetMode="External"/><Relationship Id="rId27" Type="http://schemas.openxmlformats.org/officeDocument/2006/relationships/hyperlink" Target="http://hl7.eu/fhir/ig/oah/StructureDefinition/observation-health-measure-oah" TargetMode="External"/><Relationship Id="rId30" Type="http://schemas.openxmlformats.org/officeDocument/2006/relationships/hyperlink" Target="http://hl7.eu/fhir/ig/oah/StructureDefinition/observation-health-measure-oah" TargetMode="External"/><Relationship Id="rId35" Type="http://schemas.openxmlformats.org/officeDocument/2006/relationships/hyperlink" Target="http://hl7.eu/fhir/ig/oah/StructureDefinition/observation-health-measure-oah" TargetMode="External"/><Relationship Id="rId8" Type="http://schemas.openxmlformats.org/officeDocument/2006/relationships/hyperlink" Target="http://hl7.eu/fhir/ig/oah/StructureDefinition/observation-health-measure-oah"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hyperlink" Target="http://hl7.eu/fhir/ig/oah/StructureDefinition/observation-indicators-oah" TargetMode="External"/><Relationship Id="rId2" Type="http://schemas.openxmlformats.org/officeDocument/2006/relationships/hyperlink" Target="http://hl7.eu/fhir/hdr/StructureDefinition/composition-eu-hdr" TargetMode="External"/><Relationship Id="rId1" Type="http://schemas.openxmlformats.org/officeDocument/2006/relationships/hyperlink" Target="http://hl7.eu/fhir/ig/oah/StructureDefinition/observation-indicators-oah" TargetMode="External"/><Relationship Id="rId4"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hyperlink" Target="http://hl7.eu/fhir/ig/oah/StructureDefinition/observation-health-measure-oah" TargetMode="External"/><Relationship Id="rId2" Type="http://schemas.openxmlformats.org/officeDocument/2006/relationships/hyperlink" Target="http://hl7.eu/fhir/hdr/StructureDefinition/composition-eu-hdr" TargetMode="External"/><Relationship Id="rId1" Type="http://schemas.openxmlformats.org/officeDocument/2006/relationships/hyperlink" Target="http://hl7.eu/fhir/ig/oah/StructureDefinition/observation-health-measure-oah" TargetMode="External"/><Relationship Id="rId6" Type="http://schemas.openxmlformats.org/officeDocument/2006/relationships/printerSettings" Target="../printerSettings/printerSettings6.bin"/><Relationship Id="rId5" Type="http://schemas.openxmlformats.org/officeDocument/2006/relationships/hyperlink" Target="http://hl7.eu/fhir/ig/oah/StructureDefinition/group-oah" TargetMode="External"/><Relationship Id="rId4" Type="http://schemas.openxmlformats.org/officeDocument/2006/relationships/hyperlink" Target="http://hl7.eu/fhir/ig/oah/StructureDefinition/observation-health-measure-oah"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hl7.eu/fhir/ig/oah/StructureDefinition/observation-indicators-oah" TargetMode="External"/><Relationship Id="rId2" Type="http://schemas.openxmlformats.org/officeDocument/2006/relationships/hyperlink" Target="http://hl7.eu/fhir/hdr/StructureDefinition/composition-eu-hdr" TargetMode="External"/><Relationship Id="rId1" Type="http://schemas.openxmlformats.org/officeDocument/2006/relationships/hyperlink" Target="http://hl7.eu/fhir/ig/oah/StructureDefinition/observation-indicators-oah" TargetMode="External"/><Relationship Id="rId4"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hl7.eu/fhir/hdr/StructureDefinition/composition-eu-hdr"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hl7.eu/fhir/hdr/StructureDefinition/composition-eu-hdr"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hl7.eu/fhir/ig/oah/StructureDefinition/library-oah" TargetMode="External"/><Relationship Id="rId13" Type="http://schemas.openxmlformats.org/officeDocument/2006/relationships/hyperlink" Target="http://hl7.eu/fhir/ig/oah/StructureDefinition/library-oah" TargetMode="External"/><Relationship Id="rId18" Type="http://schemas.openxmlformats.org/officeDocument/2006/relationships/hyperlink" Target="http://hl7.eu/fhir/ig/oah/StructureDefinition/library-oah" TargetMode="External"/><Relationship Id="rId3" Type="http://schemas.openxmlformats.org/officeDocument/2006/relationships/hyperlink" Target="http://hl7.eu/fhir/ig/oah/StructureDefinition/library-oah" TargetMode="External"/><Relationship Id="rId21" Type="http://schemas.openxmlformats.org/officeDocument/2006/relationships/hyperlink" Target="https://hl7.org/fhir/metadatatypes.html" TargetMode="External"/><Relationship Id="rId7" Type="http://schemas.openxmlformats.org/officeDocument/2006/relationships/hyperlink" Target="http://hl7.eu/fhir/ig/oah/StructureDefinition/library-oah" TargetMode="External"/><Relationship Id="rId12" Type="http://schemas.openxmlformats.org/officeDocument/2006/relationships/hyperlink" Target="http://hl7.eu/fhir/ig/oah/StructureDefinition/library-oah" TargetMode="External"/><Relationship Id="rId17" Type="http://schemas.openxmlformats.org/officeDocument/2006/relationships/hyperlink" Target="http://hl7.eu/fhir/ig/oah/StructureDefinition/library-oah" TargetMode="External"/><Relationship Id="rId2" Type="http://schemas.openxmlformats.org/officeDocument/2006/relationships/hyperlink" Target="http://hl7.eu/fhir/hdr/StructureDefinition/composition-eu-hdr" TargetMode="External"/><Relationship Id="rId16" Type="http://schemas.openxmlformats.org/officeDocument/2006/relationships/hyperlink" Target="http://hl7.eu/fhir/ig/oah/StructureDefinition/library-oah" TargetMode="External"/><Relationship Id="rId20" Type="http://schemas.openxmlformats.org/officeDocument/2006/relationships/hyperlink" Target="https://hl7.org/fhir/metadatatypes.html" TargetMode="External"/><Relationship Id="rId1" Type="http://schemas.openxmlformats.org/officeDocument/2006/relationships/hyperlink" Target="http://hl7.eu/fhir/ig/oah/StructureDefinition/library-oah" TargetMode="External"/><Relationship Id="rId6" Type="http://schemas.openxmlformats.org/officeDocument/2006/relationships/hyperlink" Target="http://hl7.eu/fhir/ig/oah/StructureDefinition/library-oah" TargetMode="External"/><Relationship Id="rId11" Type="http://schemas.openxmlformats.org/officeDocument/2006/relationships/hyperlink" Target="http://hl7.eu/fhir/ig/oah/StructureDefinition/library-oah" TargetMode="External"/><Relationship Id="rId5" Type="http://schemas.openxmlformats.org/officeDocument/2006/relationships/hyperlink" Target="http://hl7.eu/fhir/ig/oah/StructureDefinition/library-oah" TargetMode="External"/><Relationship Id="rId15" Type="http://schemas.openxmlformats.org/officeDocument/2006/relationships/hyperlink" Target="http://hl7.eu/fhir/ig/oah/StructureDefinition/library-oah" TargetMode="External"/><Relationship Id="rId10" Type="http://schemas.openxmlformats.org/officeDocument/2006/relationships/hyperlink" Target="http://hl7.eu/fhir/ig/oah/StructureDefinition/library-oah" TargetMode="External"/><Relationship Id="rId19" Type="http://schemas.openxmlformats.org/officeDocument/2006/relationships/hyperlink" Target="http://hl7.eu/fhir/ig/oah/StructureDefinition/library-oah" TargetMode="External"/><Relationship Id="rId4" Type="http://schemas.openxmlformats.org/officeDocument/2006/relationships/hyperlink" Target="http://hl7.eu/fhir/ig/oah/StructureDefinition/library-oah" TargetMode="External"/><Relationship Id="rId9" Type="http://schemas.openxmlformats.org/officeDocument/2006/relationships/hyperlink" Target="http://hl7.eu/fhir/ig/oah/StructureDefinition/library-oah" TargetMode="External"/><Relationship Id="rId14" Type="http://schemas.openxmlformats.org/officeDocument/2006/relationships/hyperlink" Target="http://hl7.eu/fhir/ig/oah/StructureDefinition/library-oah" TargetMode="External"/><Relationship Id="rId22"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60F00-2125-41DA-88F8-A79DC0B018FC}">
  <sheetPr>
    <tabColor theme="7" tint="0.59999389629810485"/>
  </sheetPr>
  <dimension ref="A1:AZ26"/>
  <sheetViews>
    <sheetView zoomScale="99" zoomScaleNormal="115" workbookViewId="0">
      <selection activeCell="C13" sqref="C13"/>
    </sheetView>
  </sheetViews>
  <sheetFormatPr defaultRowHeight="14.25" x14ac:dyDescent="0.45"/>
  <cols>
    <col min="1" max="1" width="31.46484375" customWidth="1"/>
    <col min="2" max="2" width="29.46484375" customWidth="1"/>
    <col min="3" max="3" width="56.53125" customWidth="1"/>
    <col min="4" max="4" width="38.796875" style="5" bestFit="1" customWidth="1"/>
    <col min="5" max="5" width="52.33203125" style="5" bestFit="1" customWidth="1"/>
    <col min="6" max="6" width="6" bestFit="1" customWidth="1"/>
    <col min="7" max="7" width="15.53125" customWidth="1"/>
    <col min="8" max="8" width="12.53125" customWidth="1"/>
    <col min="9" max="9" width="13.796875" customWidth="1"/>
  </cols>
  <sheetData>
    <row r="1" spans="1:52" x14ac:dyDescent="0.45">
      <c r="A1" s="2" t="s">
        <v>15</v>
      </c>
      <c r="B1" s="2" t="s">
        <v>16</v>
      </c>
      <c r="C1" s="2" t="s">
        <v>17</v>
      </c>
      <c r="D1" s="4" t="s">
        <v>18</v>
      </c>
      <c r="E1" s="4" t="s">
        <v>19</v>
      </c>
      <c r="F1" s="2" t="s">
        <v>20</v>
      </c>
      <c r="G1" s="2" t="s">
        <v>21</v>
      </c>
      <c r="H1" s="2" t="s">
        <v>22</v>
      </c>
      <c r="I1" s="2" t="s">
        <v>25</v>
      </c>
    </row>
    <row r="2" spans="1:52" x14ac:dyDescent="0.45">
      <c r="A2" s="6" t="s">
        <v>104</v>
      </c>
      <c r="B2" s="7" t="s">
        <v>104</v>
      </c>
      <c r="C2" s="7" t="str">
        <f t="shared" ref="C2:C8" si="0">"http://hl7.eu/fhir/ig/oah/ConceptMap/"&amp;A2</f>
        <v>http://hl7.eu/fhir/ig/oah/ConceptMap/IndicatorsOah2FHIR</v>
      </c>
      <c r="D2" s="8" t="s">
        <v>202</v>
      </c>
      <c r="E2" s="12" t="s">
        <v>203</v>
      </c>
      <c r="F2" s="6" t="s">
        <v>23</v>
      </c>
      <c r="G2" s="6"/>
      <c r="H2" s="10"/>
      <c r="I2" s="6" t="s">
        <v>26</v>
      </c>
    </row>
    <row r="3" spans="1:52" s="6" customFormat="1" x14ac:dyDescent="0.45">
      <c r="A3" s="6" t="s">
        <v>201</v>
      </c>
      <c r="B3" s="7" t="s">
        <v>201</v>
      </c>
      <c r="C3" s="7" t="str">
        <f t="shared" si="0"/>
        <v>http://hl7.eu/fhir/ig/oah/ConceptMap/SimpleIndicatorOah2FHIR</v>
      </c>
      <c r="D3" s="8" t="s">
        <v>204</v>
      </c>
      <c r="E3" s="12" t="s">
        <v>205</v>
      </c>
      <c r="F3" s="6" t="s">
        <v>23</v>
      </c>
      <c r="H3" s="7"/>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row>
    <row r="4" spans="1:52" s="6" customFormat="1" ht="28.5" x14ac:dyDescent="0.45">
      <c r="A4" s="6" t="s">
        <v>208</v>
      </c>
      <c r="B4" s="7" t="s">
        <v>208</v>
      </c>
      <c r="C4" s="7" t="str">
        <f t="shared" si="0"/>
        <v>http://hl7.eu/fhir/ig/oah/ConceptMap/StructuredIndicatorOah2FHIR</v>
      </c>
      <c r="D4" s="8" t="s">
        <v>209</v>
      </c>
      <c r="E4" s="12" t="s">
        <v>210</v>
      </c>
      <c r="F4" s="6" t="s">
        <v>23</v>
      </c>
      <c r="H4" s="10"/>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row>
    <row r="5" spans="1:52" s="6" customFormat="1" x14ac:dyDescent="0.45">
      <c r="A5" s="6" t="s">
        <v>312</v>
      </c>
      <c r="B5" s="7" t="s">
        <v>312</v>
      </c>
      <c r="C5" s="7" t="str">
        <f t="shared" si="0"/>
        <v>http://hl7.eu/fhir/ig/oah/ConceptMap/SampleOah2FHIR</v>
      </c>
      <c r="D5" s="8" t="s">
        <v>313</v>
      </c>
      <c r="E5" s="12" t="s">
        <v>314</v>
      </c>
      <c r="F5" s="6" t="s">
        <v>23</v>
      </c>
      <c r="H5" s="10"/>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row>
    <row r="6" spans="1:52" s="6" customFormat="1" x14ac:dyDescent="0.45">
      <c r="A6" s="6" t="s">
        <v>296</v>
      </c>
      <c r="B6" s="7" t="s">
        <v>296</v>
      </c>
      <c r="C6" s="7" t="str">
        <f t="shared" si="0"/>
        <v>http://hl7.eu/fhir/ig/oah/ConceptMap/DataSetOah2FHIR</v>
      </c>
      <c r="D6" s="8" t="s">
        <v>297</v>
      </c>
      <c r="E6" s="12" t="s">
        <v>298</v>
      </c>
      <c r="F6" s="6" t="s">
        <v>23</v>
      </c>
      <c r="H6" s="10"/>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row>
    <row r="7" spans="1:52" s="6" customFormat="1" x14ac:dyDescent="0.45">
      <c r="A7" s="6" t="s">
        <v>471</v>
      </c>
      <c r="B7" s="7" t="s">
        <v>471</v>
      </c>
      <c r="C7" s="7" t="str">
        <f t="shared" si="0"/>
        <v>http://hl7.eu/fhir/ig/oah/ConceptMap/HealthIndicatorsOah2FHIR</v>
      </c>
      <c r="D7" s="8" t="s">
        <v>297</v>
      </c>
      <c r="E7" s="12" t="s">
        <v>298</v>
      </c>
      <c r="F7" s="6" t="s">
        <v>23</v>
      </c>
      <c r="H7" s="10"/>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row>
    <row r="8" spans="1:52" x14ac:dyDescent="0.45">
      <c r="A8" s="6" t="s">
        <v>488</v>
      </c>
      <c r="B8" s="7" t="s">
        <v>488</v>
      </c>
      <c r="C8" s="7" t="str">
        <f t="shared" si="0"/>
        <v>http://hl7.eu/fhir/ig/oah/ConceptMap/HealthMeasureOah2FHIR</v>
      </c>
      <c r="D8" s="8" t="s">
        <v>297</v>
      </c>
      <c r="E8" s="12" t="s">
        <v>298</v>
      </c>
      <c r="F8" s="6" t="s">
        <v>23</v>
      </c>
      <c r="G8" s="6"/>
      <c r="H8" s="10"/>
      <c r="I8" s="6"/>
    </row>
    <row r="9" spans="1:52" x14ac:dyDescent="0.45">
      <c r="A9" s="6"/>
      <c r="B9" s="7"/>
      <c r="C9" s="7"/>
      <c r="D9" s="8"/>
      <c r="E9" s="6"/>
      <c r="F9" s="6"/>
      <c r="G9" s="6"/>
      <c r="H9" s="10"/>
      <c r="I9" s="6"/>
    </row>
    <row r="10" spans="1:52" x14ac:dyDescent="0.45">
      <c r="A10" s="6"/>
      <c r="B10" s="7"/>
      <c r="C10" s="7"/>
      <c r="D10" s="8"/>
      <c r="E10" s="6"/>
      <c r="F10" s="6"/>
      <c r="G10" s="6"/>
      <c r="H10" s="10"/>
      <c r="I10" s="6"/>
    </row>
    <row r="11" spans="1:52" x14ac:dyDescent="0.45">
      <c r="A11" s="9"/>
      <c r="B11" s="7"/>
      <c r="C11" s="7"/>
      <c r="D11" s="8"/>
      <c r="E11" s="6"/>
      <c r="F11" s="6"/>
      <c r="G11" s="6"/>
      <c r="H11" s="10"/>
      <c r="I11" s="6"/>
    </row>
    <row r="12" spans="1:52" x14ac:dyDescent="0.45">
      <c r="A12" s="9"/>
      <c r="B12" s="7"/>
      <c r="C12" s="7"/>
      <c r="D12" s="8"/>
      <c r="E12" s="6"/>
      <c r="F12" s="6"/>
      <c r="G12" s="6"/>
      <c r="H12" s="6"/>
      <c r="I12" s="6"/>
    </row>
    <row r="13" spans="1:52" x14ac:dyDescent="0.45">
      <c r="A13" s="6"/>
      <c r="B13" s="7"/>
      <c r="C13" s="7"/>
      <c r="D13" s="8"/>
      <c r="E13" s="6"/>
      <c r="F13" s="6"/>
      <c r="G13" s="6"/>
      <c r="H13" s="6"/>
      <c r="I13" s="6"/>
    </row>
    <row r="14" spans="1:52" x14ac:dyDescent="0.45">
      <c r="A14" s="6"/>
      <c r="B14" s="7"/>
      <c r="C14" s="7"/>
      <c r="D14" s="8"/>
      <c r="E14" s="6"/>
      <c r="F14" s="6"/>
      <c r="G14" s="6"/>
      <c r="H14" s="6"/>
      <c r="I14" s="6"/>
    </row>
    <row r="16" spans="1:52" x14ac:dyDescent="0.45">
      <c r="A16" s="1"/>
    </row>
    <row r="26" spans="3:3" x14ac:dyDescent="0.45">
      <c r="C26" s="3"/>
    </row>
  </sheetData>
  <hyperlinks>
    <hyperlink ref="C2" r:id="rId1" display="http://terminology.hl7.it/ConceptMap/ConceptMap-subject2osiris" xr:uid="{53DA0FA1-7C8E-4F88-8B57-EFAB32CC7FAF}"/>
    <hyperlink ref="B3" location="SimpleIndicatorOah2FHIR!A1" display="SimpleIndicatorOah2FHIR" xr:uid="{D1C84F75-2474-4A6C-B2E4-F1F7866F4B25}"/>
    <hyperlink ref="C3" r:id="rId2" display="http://terminology.hl7.it/ConceptMap/ConceptMap-subject2osiris" xr:uid="{58F1EE10-6CF4-4F90-8955-DEC223F5E5A1}"/>
    <hyperlink ref="C4" r:id="rId3" display="http://terminology.hl7.it/ConceptMap/ConceptMap-subject2osiris" xr:uid="{51D72151-E063-40DE-90B6-1578D72BDB4B}"/>
    <hyperlink ref="B4" location="StructuredIndicatorOah2FHIR!A1" display="StructuredIndicatorOah2FHIR" xr:uid="{56C6338D-D9FC-4776-92DC-9FD78F437E18}"/>
    <hyperlink ref="C6" r:id="rId4" display="http://terminology.hl7.it/ConceptMap/ConceptMap-subject2osiris" xr:uid="{BF0DB1E2-0F2B-4E3E-805E-1CE18721AADF}"/>
    <hyperlink ref="B6" location="DataSetOah2FHIR!A1" display="DataSetOah2FHIR" xr:uid="{269D91BA-A142-452C-BFC2-03E878D7FE34}"/>
    <hyperlink ref="C5" r:id="rId5" display="http://terminology.hl7.it/ConceptMap/ConceptMap-subject2osiris" xr:uid="{98932B28-070D-49A9-BFC9-E1569CC7F58A}"/>
    <hyperlink ref="C7" r:id="rId6" display="http://terminology.hl7.it/ConceptMap/ConceptMap-subject2osiris" xr:uid="{B424B8D1-7E93-478C-A503-60C861B1E6A1}"/>
    <hyperlink ref="B7" r:id="rId7" xr:uid="{FD1B42E1-3580-4F05-A2FA-F7B592BC9C46}"/>
    <hyperlink ref="B8" location="HealthMeasureOah2FHIR!A1" display="#HealthMeasureOah2FHIR!A1" xr:uid="{44EE0C0A-E791-40A6-8F5A-DFE8DF9E21F0}"/>
    <hyperlink ref="C8" r:id="rId8" display="http://terminology.hl7.it/ConceptMap/ConceptMap-subject2osiris" xr:uid="{E27C1DCD-2D51-4829-9A3E-AFCC4D888638}"/>
  </hyperlinks>
  <pageMargins left="0.7" right="0.7" top="0.75" bottom="0.75" header="0.3" footer="0.3"/>
  <pageSetup paperSize="9" orientation="portrait"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6" tint="0.79998168889431442"/>
  </sheetPr>
  <dimension ref="A1:D8"/>
  <sheetViews>
    <sheetView zoomScale="99" zoomScaleNormal="130" workbookViewId="0">
      <selection activeCell="A8" sqref="A8"/>
    </sheetView>
  </sheetViews>
  <sheetFormatPr defaultRowHeight="14.25" x14ac:dyDescent="0.45"/>
  <cols>
    <col min="1" max="1" width="21.53125" bestFit="1" customWidth="1"/>
    <col min="2" max="2" width="27.33203125" customWidth="1"/>
    <col min="3" max="3" width="28" style="5" customWidth="1"/>
    <col min="4" max="4" width="71.46484375" customWidth="1"/>
  </cols>
  <sheetData>
    <row r="1" spans="1:4" x14ac:dyDescent="0.45">
      <c r="A1" s="2" t="s">
        <v>24</v>
      </c>
      <c r="B1" s="2" t="s">
        <v>16</v>
      </c>
      <c r="C1" s="4" t="s">
        <v>18</v>
      </c>
      <c r="D1" s="2" t="s">
        <v>19</v>
      </c>
    </row>
    <row r="2" spans="1:4" ht="28.5" x14ac:dyDescent="0.45">
      <c r="A2" s="6" t="s">
        <v>100</v>
      </c>
      <c r="B2" s="7" t="s">
        <v>100</v>
      </c>
      <c r="C2" s="8" t="s">
        <v>101</v>
      </c>
      <c r="D2" s="8" t="s">
        <v>102</v>
      </c>
    </row>
    <row r="3" spans="1:4" x14ac:dyDescent="0.45">
      <c r="A3" s="6" t="s">
        <v>157</v>
      </c>
      <c r="B3" s="7" t="s">
        <v>165</v>
      </c>
      <c r="C3" s="6" t="s">
        <v>164</v>
      </c>
      <c r="D3" s="8" t="s">
        <v>155</v>
      </c>
    </row>
    <row r="4" spans="1:4" ht="28.5" x14ac:dyDescent="0.45">
      <c r="A4" s="6" t="s">
        <v>156</v>
      </c>
      <c r="B4" s="7" t="s">
        <v>153</v>
      </c>
      <c r="C4" s="6" t="s">
        <v>163</v>
      </c>
      <c r="D4" s="8" t="s">
        <v>154</v>
      </c>
    </row>
    <row r="5" spans="1:4" x14ac:dyDescent="0.45">
      <c r="A5" s="6" t="s">
        <v>123</v>
      </c>
      <c r="B5" s="7" t="s">
        <v>128</v>
      </c>
      <c r="C5" s="8" t="s">
        <v>123</v>
      </c>
      <c r="D5" s="8" t="s">
        <v>129</v>
      </c>
    </row>
    <row r="6" spans="1:4" x14ac:dyDescent="0.45">
      <c r="A6" s="6" t="s">
        <v>247</v>
      </c>
      <c r="B6" s="7" t="s">
        <v>246</v>
      </c>
      <c r="C6" s="8" t="s">
        <v>248</v>
      </c>
      <c r="D6" s="8" t="s">
        <v>249</v>
      </c>
    </row>
    <row r="7" spans="1:4" x14ac:dyDescent="0.45">
      <c r="A7" s="6" t="s">
        <v>468</v>
      </c>
      <c r="B7" s="7" t="s">
        <v>467</v>
      </c>
      <c r="C7" s="8" t="s">
        <v>469</v>
      </c>
      <c r="D7" s="8" t="s">
        <v>470</v>
      </c>
    </row>
    <row r="8" spans="1:4" x14ac:dyDescent="0.45">
      <c r="A8" s="6" t="s">
        <v>485</v>
      </c>
      <c r="B8" s="7" t="s">
        <v>484</v>
      </c>
      <c r="C8" s="8" t="s">
        <v>486</v>
      </c>
      <c r="D8" s="8" t="s">
        <v>487</v>
      </c>
    </row>
  </sheetData>
  <hyperlinks>
    <hyperlink ref="B2" location="IndicatorsOah!A1" display="IndicatorsOah" xr:uid="{E21EEA15-0E90-4596-8BD9-8A69DCDCC058}"/>
    <hyperlink ref="B5" location="SampleOah!A1" display="SampleOah" xr:uid="{E28377A9-D5E2-445B-A087-DFA140D2D229}"/>
    <hyperlink ref="B4" location="StructuredIndicatorOah!A1" display="StructuredIndicatorOah" xr:uid="{4BCC05B1-2BDB-4C95-8C70-193FBCF8F983}"/>
    <hyperlink ref="B3" location="SimpleIndicatorOah!A1" display="SimpleIndicatorOah" xr:uid="{1BBB742F-F9D6-4621-914C-BE1DD198CC91}"/>
    <hyperlink ref="B6" location="DataSetOah!A1" display="DataSetOah" xr:uid="{745C93EF-7CD1-4EDC-86A1-68DED4068876}"/>
    <hyperlink ref="B7" location="HealthIndicatorsOah!A1" display="#HealthIndicatorsOah!A1" xr:uid="{C11E51ED-B0B7-4E81-8F51-6FA7790E9B32}"/>
    <hyperlink ref="B8" r:id="rId1" xr:uid="{DDC97B00-68EF-4C9B-A4D9-DFFCB86F27E4}"/>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F5BE3-3DB4-4D21-9F67-6450BA65E2E4}">
  <sheetPr>
    <tabColor theme="7" tint="0.59999389629810485"/>
  </sheetPr>
  <dimension ref="A1:H64"/>
  <sheetViews>
    <sheetView tabSelected="1" zoomScale="80" zoomScaleNormal="80" workbookViewId="0">
      <selection activeCell="E70" sqref="E70"/>
    </sheetView>
  </sheetViews>
  <sheetFormatPr defaultRowHeight="14.25" x14ac:dyDescent="0.45"/>
  <cols>
    <col min="1" max="1" width="58.06640625" bestFit="1" customWidth="1"/>
    <col min="2" max="2" width="71.86328125" customWidth="1"/>
    <col min="3" max="3" width="59.1328125" style="5" customWidth="1"/>
    <col min="4" max="4" width="44.53125" style="5" customWidth="1"/>
    <col min="5" max="5" width="36.19921875" customWidth="1"/>
    <col min="6" max="6" width="22" customWidth="1"/>
    <col min="7" max="7" width="11.06640625" customWidth="1"/>
    <col min="8" max="8" width="37.53125" style="5" customWidth="1"/>
  </cols>
  <sheetData>
    <row r="1" spans="1:8" s="14" customFormat="1" x14ac:dyDescent="0.45">
      <c r="A1" s="13" t="s">
        <v>0</v>
      </c>
      <c r="B1" s="13" t="s">
        <v>1</v>
      </c>
      <c r="C1" s="15" t="s">
        <v>2</v>
      </c>
      <c r="D1" s="15" t="s">
        <v>3</v>
      </c>
      <c r="E1" s="13" t="s">
        <v>4</v>
      </c>
      <c r="F1" s="13" t="s">
        <v>5</v>
      </c>
      <c r="G1" s="13" t="s">
        <v>6</v>
      </c>
      <c r="H1" s="15" t="s">
        <v>8</v>
      </c>
    </row>
    <row r="2" spans="1:8" x14ac:dyDescent="0.45">
      <c r="A2" s="7" t="str">
        <f>"http://hl7.eu/fhir/ig/oah/StructureDefinition/"&amp;LogicalModels!$A$7</f>
        <v>http://hl7.eu/fhir/ig/oah/StructureDefinition/HealthIndicators</v>
      </c>
      <c r="B2" s="40" t="s">
        <v>491</v>
      </c>
      <c r="C2" s="8" t="str">
        <f>HealthIndicatorsOah!A2</f>
        <v>diseasePrevalence</v>
      </c>
      <c r="D2" s="8" t="str">
        <f>HealthIndicatorsOah!D2</f>
        <v>Cases of disease prevalence</v>
      </c>
      <c r="E2" s="8" t="s">
        <v>27</v>
      </c>
      <c r="F2" s="6"/>
      <c r="G2" s="6" t="s">
        <v>7</v>
      </c>
      <c r="H2" s="8"/>
    </row>
    <row r="3" spans="1:8" x14ac:dyDescent="0.45">
      <c r="A3" s="7" t="str">
        <f>"http://hl7.eu/fhir/ig/oah/StructureDefinition/"&amp;LogicalModels!$A$7</f>
        <v>http://hl7.eu/fhir/ig/oah/StructureDefinition/HealthIndicators</v>
      </c>
      <c r="B3" s="40" t="s">
        <v>491</v>
      </c>
      <c r="C3" s="8" t="str">
        <f>HealthIndicatorsOah!A3</f>
        <v>diseasePrevalence.highBloodPression</v>
      </c>
      <c r="D3" s="8" t="str">
        <f>HealthIndicatorsOah!D3</f>
        <v>% of people with high blood pressure (prevalence)</v>
      </c>
      <c r="E3" s="8" t="s">
        <v>27</v>
      </c>
      <c r="F3" s="6" t="str">
        <f>""</f>
        <v/>
      </c>
      <c r="G3" s="6" t="s">
        <v>7</v>
      </c>
      <c r="H3" s="8"/>
    </row>
    <row r="4" spans="1:8" x14ac:dyDescent="0.45">
      <c r="A4" s="7" t="str">
        <f>"http://hl7.eu/fhir/ig/oah/StructureDefinition/"&amp;LogicalModels!$A$7</f>
        <v>http://hl7.eu/fhir/ig/oah/StructureDefinition/HealthIndicators</v>
      </c>
      <c r="B4" s="40" t="s">
        <v>491</v>
      </c>
      <c r="C4" s="8" t="str">
        <f>HealthIndicatorsOah!A4</f>
        <v>diseasePrevalence.hypertension</v>
      </c>
      <c r="D4" s="8" t="str">
        <f>HealthIndicatorsOah!D4</f>
        <v>% of people under treatment for hypertension</v>
      </c>
      <c r="E4" s="8" t="s">
        <v>27</v>
      </c>
      <c r="F4" s="6"/>
      <c r="G4" s="6" t="s">
        <v>7</v>
      </c>
      <c r="H4" s="8"/>
    </row>
    <row r="5" spans="1:8" x14ac:dyDescent="0.45">
      <c r="A5" s="7" t="str">
        <f>"http://hl7.eu/fhir/ig/oah/StructureDefinition/"&amp;LogicalModels!$A$7</f>
        <v>http://hl7.eu/fhir/ig/oah/StructureDefinition/HealthIndicators</v>
      </c>
      <c r="B5" s="40" t="s">
        <v>491</v>
      </c>
      <c r="C5" s="8" t="str">
        <f>HealthIndicatorsOah!A5</f>
        <v>diseasePrevalence.highBloodPressionTreatment</v>
      </c>
      <c r="D5" s="8" t="str">
        <f>HealthIndicatorsOah!D5</f>
        <v>% of people under treatment for high blood pressure</v>
      </c>
      <c r="E5" s="8" t="s">
        <v>27</v>
      </c>
      <c r="F5" s="6"/>
      <c r="G5" s="6" t="s">
        <v>7</v>
      </c>
      <c r="H5" s="8"/>
    </row>
    <row r="6" spans="1:8" x14ac:dyDescent="0.45">
      <c r="A6" s="7" t="str">
        <f>"http://hl7.eu/fhir/ig/oah/StructureDefinition/"&amp;LogicalModels!$A$7</f>
        <v>http://hl7.eu/fhir/ig/oah/StructureDefinition/HealthIndicators</v>
      </c>
      <c r="B6" s="40" t="s">
        <v>491</v>
      </c>
      <c r="C6" s="8" t="str">
        <f>HealthIndicatorsOah!A6</f>
        <v>diseasePrevalence.obesity</v>
      </c>
      <c r="D6" s="8" t="str">
        <f>HealthIndicatorsOah!D6</f>
        <v>% of people affected from obesity</v>
      </c>
      <c r="E6" s="8" t="s">
        <v>27</v>
      </c>
      <c r="F6" s="6"/>
      <c r="G6" s="6" t="s">
        <v>7</v>
      </c>
      <c r="H6" s="8"/>
    </row>
    <row r="7" spans="1:8" ht="28.5" x14ac:dyDescent="0.45">
      <c r="A7" s="7" t="str">
        <f>"http://hl7.eu/fhir/ig/oah/StructureDefinition/"&amp;LogicalModels!$A$7</f>
        <v>http://hl7.eu/fhir/ig/oah/StructureDefinition/HealthIndicators</v>
      </c>
      <c r="B7" s="40" t="s">
        <v>491</v>
      </c>
      <c r="C7" s="8" t="str">
        <f>HealthIndicatorsOah!A7</f>
        <v>diseasePrevalence.cholesterolemia190</v>
      </c>
      <c r="D7" s="8" t="str">
        <f>HealthIndicatorsOah!D7</f>
        <v>% of people with high total cholesterolemia (&gt;=190 mg/dl)</v>
      </c>
      <c r="E7" s="8" t="s">
        <v>27</v>
      </c>
      <c r="F7" s="6"/>
      <c r="G7" s="6" t="s">
        <v>7</v>
      </c>
      <c r="H7" s="8"/>
    </row>
    <row r="8" spans="1:8" x14ac:dyDescent="0.45">
      <c r="A8" s="7" t="str">
        <f>"http://hl7.eu/fhir/ig/oah/StructureDefinition/"&amp;LogicalModels!$A$7</f>
        <v>http://hl7.eu/fhir/ig/oah/StructureDefinition/HealthIndicators</v>
      </c>
      <c r="B8" s="40" t="s">
        <v>491</v>
      </c>
      <c r="C8" s="8" t="str">
        <f>HealthIndicatorsOah!A8</f>
        <v>diseasePrevalence.hypercholesterolemiaTreatment</v>
      </c>
      <c r="D8" s="8" t="str">
        <f>HealthIndicatorsOah!D8</f>
        <v>% of people under treatment for hypercholesterolemia</v>
      </c>
      <c r="E8" s="8" t="s">
        <v>27</v>
      </c>
      <c r="F8" s="6"/>
      <c r="G8" s="6" t="s">
        <v>7</v>
      </c>
      <c r="H8" s="8"/>
    </row>
    <row r="9" spans="1:8" ht="28.5" x14ac:dyDescent="0.45">
      <c r="A9" s="7" t="str">
        <f>"http://hl7.eu/fhir/ig/oah/StructureDefinition/"&amp;LogicalModels!$A$7</f>
        <v>http://hl7.eu/fhir/ig/oah/StructureDefinition/HealthIndicators</v>
      </c>
      <c r="B9" s="40" t="s">
        <v>491</v>
      </c>
      <c r="C9" s="8" t="str">
        <f>HealthIndicatorsOah!A9</f>
        <v>diseasePrevalence.cholesterolemia240</v>
      </c>
      <c r="D9" s="8" t="str">
        <f>HealthIndicatorsOah!D9</f>
        <v>% of people with high total cholesterolemia (&gt;=240 mg/dl)</v>
      </c>
      <c r="E9" s="8" t="s">
        <v>27</v>
      </c>
      <c r="F9" s="6"/>
      <c r="G9" s="6" t="s">
        <v>7</v>
      </c>
      <c r="H9" s="8"/>
    </row>
    <row r="10" spans="1:8" x14ac:dyDescent="0.45">
      <c r="A10" s="7" t="str">
        <f>"http://hl7.eu/fhir/ig/oah/StructureDefinition/"&amp;LogicalModels!$A$7</f>
        <v>http://hl7.eu/fhir/ig/oah/StructureDefinition/HealthIndicators</v>
      </c>
      <c r="B10" s="40" t="s">
        <v>491</v>
      </c>
      <c r="C10" s="8" t="str">
        <f>HealthIndicatorsOah!A10</f>
        <v>diseasePrevalence.diabetes</v>
      </c>
      <c r="D10" s="8" t="str">
        <f>HealthIndicatorsOah!D10</f>
        <v xml:space="preserve">% of people with high blood sugar/diabetes </v>
      </c>
      <c r="E10" s="8" t="s">
        <v>27</v>
      </c>
      <c r="F10" s="6"/>
      <c r="G10" s="6" t="s">
        <v>7</v>
      </c>
      <c r="H10" s="8"/>
    </row>
    <row r="11" spans="1:8" x14ac:dyDescent="0.45">
      <c r="A11" s="7" t="str">
        <f>"http://hl7.eu/fhir/ig/oah/StructureDefinition/"&amp;LogicalModels!$A$7</f>
        <v>http://hl7.eu/fhir/ig/oah/StructureDefinition/HealthIndicators</v>
      </c>
      <c r="B11" s="40" t="s">
        <v>491</v>
      </c>
      <c r="C11" s="8" t="str">
        <f>HealthIndicatorsOah!A11</f>
        <v>diseasePrevalence.diabetesTreatment</v>
      </c>
      <c r="D11" s="8" t="str">
        <f>HealthIndicatorsOah!D11</f>
        <v>% of people under treatment for diabetes</v>
      </c>
      <c r="E11" s="8" t="s">
        <v>27</v>
      </c>
      <c r="F11" s="6"/>
      <c r="G11" s="6" t="s">
        <v>7</v>
      </c>
      <c r="H11" s="8"/>
    </row>
    <row r="12" spans="1:8" x14ac:dyDescent="0.45">
      <c r="A12" s="7" t="str">
        <f>"http://hl7.eu/fhir/ig/oah/StructureDefinition/"&amp;LogicalModels!$A$7</f>
        <v>http://hl7.eu/fhir/ig/oah/StructureDefinition/HealthIndicators</v>
      </c>
      <c r="B12" s="40" t="s">
        <v>491</v>
      </c>
      <c r="C12" s="8" t="str">
        <f>HealthIndicatorsOah!A12</f>
        <v>diseasePrevalence.noPhysicalActivity</v>
      </c>
      <c r="D12" s="8" t="str">
        <f>HealthIndicatorsOah!D12</f>
        <v>% of people not engaging in physical activity</v>
      </c>
      <c r="E12" s="8" t="s">
        <v>27</v>
      </c>
      <c r="F12" s="6"/>
      <c r="G12" s="6" t="s">
        <v>7</v>
      </c>
      <c r="H12" s="8"/>
    </row>
    <row r="13" spans="1:8" x14ac:dyDescent="0.45">
      <c r="A13" s="7" t="str">
        <f>"http://hl7.eu/fhir/ig/oah/StructureDefinition/"&amp;LogicalModels!$A$7</f>
        <v>http://hl7.eu/fhir/ig/oah/StructureDefinition/HealthIndicators</v>
      </c>
      <c r="B13" s="40" t="s">
        <v>491</v>
      </c>
      <c r="C13" s="8" t="str">
        <f>HealthIndicatorsOah!A13</f>
        <v>diseasePrevalence.cvd</v>
      </c>
      <c r="D13" s="8" t="str">
        <f>HealthIndicatorsOah!D13</f>
        <v>% of people affected from CVD</v>
      </c>
      <c r="E13" s="8" t="s">
        <v>27</v>
      </c>
      <c r="F13" s="6"/>
      <c r="G13" s="6" t="s">
        <v>7</v>
      </c>
      <c r="H13" s="8"/>
    </row>
    <row r="14" spans="1:8" x14ac:dyDescent="0.45">
      <c r="A14" s="7" t="str">
        <f>"http://hl7.eu/fhir/ig/oah/StructureDefinition/"&amp;LogicalModels!$A$7</f>
        <v>http://hl7.eu/fhir/ig/oah/StructureDefinition/HealthIndicators</v>
      </c>
      <c r="B14" s="40" t="s">
        <v>491</v>
      </c>
      <c r="C14" s="8" t="str">
        <f>HealthIndicatorsOah!A14</f>
        <v>diseasePrevalence.gastrointestinal</v>
      </c>
      <c r="D14" s="8" t="str">
        <f>HealthIndicatorsOah!D14</f>
        <v>% of people with Cases of Gastrointestinal diseases</v>
      </c>
      <c r="E14" s="8" t="s">
        <v>27</v>
      </c>
      <c r="F14" s="6"/>
      <c r="G14" s="6" t="s">
        <v>7</v>
      </c>
      <c r="H14" s="8"/>
    </row>
    <row r="15" spans="1:8" x14ac:dyDescent="0.45">
      <c r="A15" s="7" t="str">
        <f>"http://hl7.eu/fhir/ig/oah/StructureDefinition/"&amp;LogicalModels!$A$7</f>
        <v>http://hl7.eu/fhir/ig/oah/StructureDefinition/HealthIndicators</v>
      </c>
      <c r="B15" s="40" t="s">
        <v>491</v>
      </c>
      <c r="C15" s="8" t="str">
        <f>HealthIndicatorsOah!A15</f>
        <v>diseasePrevalence.longTermDisease</v>
      </c>
      <c r="D15" s="8" t="str">
        <f>HealthIndicatorsOah!D15</f>
        <v>% of people with long-term disease</v>
      </c>
      <c r="E15" s="8" t="s">
        <v>27</v>
      </c>
      <c r="F15" s="6"/>
      <c r="G15" s="6" t="s">
        <v>7</v>
      </c>
      <c r="H15" s="8"/>
    </row>
    <row r="16" spans="1:8" x14ac:dyDescent="0.45">
      <c r="A16" s="7" t="str">
        <f>"http://hl7.eu/fhir/ig/oah/StructureDefinition/"&amp;LogicalModels!$A$7</f>
        <v>http://hl7.eu/fhir/ig/oah/StructureDefinition/HealthIndicators</v>
      </c>
      <c r="B16" s="40" t="s">
        <v>491</v>
      </c>
      <c r="C16" s="8" t="str">
        <f>HealthIndicatorsOah!A16</f>
        <v>diseasePrevalence.noLongTermDisease</v>
      </c>
      <c r="D16" s="8" t="str">
        <f>HealthIndicatorsOah!D16</f>
        <v>% of people without  long-term disease</v>
      </c>
      <c r="E16" s="8" t="s">
        <v>27</v>
      </c>
      <c r="F16" s="6"/>
      <c r="G16" s="6" t="s">
        <v>7</v>
      </c>
      <c r="H16" s="8"/>
    </row>
    <row r="17" spans="1:8" x14ac:dyDescent="0.45">
      <c r="A17" s="7" t="str">
        <f>"http://hl7.eu/fhir/ig/oah/StructureDefinition/"&amp;LogicalModels!$A$7</f>
        <v>http://hl7.eu/fhir/ig/oah/StructureDefinition/HealthIndicators</v>
      </c>
      <c r="B17" s="40" t="s">
        <v>491</v>
      </c>
      <c r="C17" s="8" t="str">
        <f>HealthIndicatorsOah!A17</f>
        <v>diseasePrevalence.bmiBelow18</v>
      </c>
      <c r="D17" s="8" t="str">
        <f>HealthIndicatorsOah!D17</f>
        <v>% of people with BMI &lt;18,5</v>
      </c>
      <c r="E17" s="8" t="s">
        <v>27</v>
      </c>
      <c r="F17" s="6"/>
      <c r="G17" s="6" t="s">
        <v>7</v>
      </c>
      <c r="H17" s="8"/>
    </row>
    <row r="18" spans="1:8" x14ac:dyDescent="0.45">
      <c r="A18" s="7" t="str">
        <f>"http://hl7.eu/fhir/ig/oah/StructureDefinition/"&amp;LogicalModels!$A$7</f>
        <v>http://hl7.eu/fhir/ig/oah/StructureDefinition/HealthIndicators</v>
      </c>
      <c r="B18" s="40" t="s">
        <v>491</v>
      </c>
      <c r="C18" s="8" t="str">
        <f>HealthIndicatorsOah!A18</f>
        <v>diseasePrevalence.bmiBelow25</v>
      </c>
      <c r="D18" s="8" t="str">
        <f>HealthIndicatorsOah!D18</f>
        <v>% of people with BMI 18,5-24,9</v>
      </c>
      <c r="E18" s="8" t="s">
        <v>27</v>
      </c>
      <c r="F18" s="6"/>
      <c r="G18" s="6" t="s">
        <v>7</v>
      </c>
      <c r="H18" s="8"/>
    </row>
    <row r="19" spans="1:8" x14ac:dyDescent="0.45">
      <c r="A19" s="7" t="str">
        <f>"http://hl7.eu/fhir/ig/oah/StructureDefinition/"&amp;LogicalModels!$A$7</f>
        <v>http://hl7.eu/fhir/ig/oah/StructureDefinition/HealthIndicators</v>
      </c>
      <c r="B19" s="40" t="s">
        <v>491</v>
      </c>
      <c r="C19" s="8" t="str">
        <f>HealthIndicatorsOah!A19</f>
        <v>diseasePrevalence.bmiBelow30</v>
      </c>
      <c r="D19" s="8" t="str">
        <f>HealthIndicatorsOah!D19</f>
        <v>% of people with BMI 25-29,9</v>
      </c>
      <c r="E19" s="8" t="s">
        <v>27</v>
      </c>
      <c r="F19" s="6"/>
      <c r="G19" s="6" t="s">
        <v>7</v>
      </c>
      <c r="H19" s="8"/>
    </row>
    <row r="20" spans="1:8" x14ac:dyDescent="0.45">
      <c r="A20" s="7" t="str">
        <f>"http://hl7.eu/fhir/ig/oah/StructureDefinition/"&amp;LogicalModels!$A$7</f>
        <v>http://hl7.eu/fhir/ig/oah/StructureDefinition/HealthIndicators</v>
      </c>
      <c r="B20" s="40" t="s">
        <v>491</v>
      </c>
      <c r="C20" s="8" t="str">
        <f>HealthIndicatorsOah!A20</f>
        <v>diseasePrevalence.bmiAbove30</v>
      </c>
      <c r="D20" s="8" t="str">
        <f>HealthIndicatorsOah!D20</f>
        <v>% of people with BMI =&gt;30</v>
      </c>
      <c r="E20" s="8" t="s">
        <v>27</v>
      </c>
      <c r="F20" s="6"/>
      <c r="G20" s="6" t="s">
        <v>7</v>
      </c>
      <c r="H20" s="8"/>
    </row>
    <row r="21" spans="1:8" ht="28.5" x14ac:dyDescent="0.45">
      <c r="A21" s="7" t="str">
        <f>"http://hl7.eu/fhir/ig/oah/StructureDefinition/"&amp;LogicalModels!$A$7</f>
        <v>http://hl7.eu/fhir/ig/oah/StructureDefinition/HealthIndicators</v>
      </c>
      <c r="B21" s="40" t="s">
        <v>491</v>
      </c>
      <c r="C21" s="8" t="str">
        <f>HealthIndicatorsOah!A21</f>
        <v>diseasePrevalence.diabateCopdCvd</v>
      </c>
      <c r="D21" s="8" t="str">
        <f>HealthIndicatorsOah!D21</f>
        <v>% of people that have or have had Diabetes, COPD or Cardiovascular disease</v>
      </c>
      <c r="E21" s="8" t="s">
        <v>27</v>
      </c>
      <c r="F21" s="6"/>
      <c r="G21" s="6" t="s">
        <v>7</v>
      </c>
      <c r="H21" s="8"/>
    </row>
    <row r="22" spans="1:8" ht="28.5" x14ac:dyDescent="0.45">
      <c r="A22" s="7" t="str">
        <f>"http://hl7.eu/fhir/ig/oah/StructureDefinition/"&amp;LogicalModels!$A$7</f>
        <v>http://hl7.eu/fhir/ig/oah/StructureDefinition/HealthIndicators</v>
      </c>
      <c r="B22" s="40" t="s">
        <v>491</v>
      </c>
      <c r="C22" s="8" t="str">
        <f>HealthIndicatorsOah!A22</f>
        <v>diseasePrevalence.noDiabateCopdCvd</v>
      </c>
      <c r="D22" s="8" t="str">
        <f>HealthIndicatorsOah!D22</f>
        <v>% of people that do not have Diabetes, COPD or Cardiovascular disease</v>
      </c>
      <c r="E22" s="8" t="s">
        <v>27</v>
      </c>
      <c r="F22" s="6"/>
      <c r="G22" s="6" t="s">
        <v>7</v>
      </c>
      <c r="H22" s="8"/>
    </row>
    <row r="23" spans="1:8" x14ac:dyDescent="0.45">
      <c r="A23" s="7" t="str">
        <f>"http://hl7.eu/fhir/ig/oah/StructureDefinition/"&amp;LogicalModels!$A$7</f>
        <v>http://hl7.eu/fhir/ig/oah/StructureDefinition/HealthIndicators</v>
      </c>
      <c r="B23" s="40" t="s">
        <v>491</v>
      </c>
      <c r="C23" s="8" t="str">
        <f>HealthIndicatorsOah!A23</f>
        <v>diseasePrevalence.mentalHealth</v>
      </c>
      <c r="D23" s="8" t="str">
        <f>HealthIndicatorsOah!D23</f>
        <v>% of people experience with mental health issues</v>
      </c>
      <c r="E23" s="8" t="s">
        <v>27</v>
      </c>
      <c r="F23" s="6"/>
      <c r="G23" s="6" t="s">
        <v>7</v>
      </c>
      <c r="H23" s="8"/>
    </row>
    <row r="24" spans="1:8" x14ac:dyDescent="0.45">
      <c r="A24" s="7" t="str">
        <f>"http://hl7.eu/fhir/ig/oah/StructureDefinition/"&amp;LogicalModels!$A$7</f>
        <v>http://hl7.eu/fhir/ig/oah/StructureDefinition/HealthIndicators</v>
      </c>
      <c r="B24" s="40" t="s">
        <v>491</v>
      </c>
      <c r="C24" s="8" t="str">
        <f>HealthIndicatorsOah!A24</f>
        <v>diseasePrevalence.borrelia</v>
      </c>
      <c r="D24" s="8" t="str">
        <f>HealthIndicatorsOah!D24</f>
        <v>% of people with Borrelia Burgdoferi</v>
      </c>
      <c r="E24" s="8" t="s">
        <v>27</v>
      </c>
      <c r="F24" s="6"/>
      <c r="G24" s="6" t="s">
        <v>7</v>
      </c>
      <c r="H24" s="8"/>
    </row>
    <row r="25" spans="1:8" x14ac:dyDescent="0.45">
      <c r="A25" s="7" t="str">
        <f>"http://hl7.eu/fhir/ig/oah/StructureDefinition/"&amp;LogicalModels!$A$7</f>
        <v>http://hl7.eu/fhir/ig/oah/StructureDefinition/HealthIndicators</v>
      </c>
      <c r="B25" s="40" t="s">
        <v>491</v>
      </c>
      <c r="C25" s="8" t="str">
        <f>HealthIndicatorsOah!A25</f>
        <v>diseasePrevalence.campylobacter</v>
      </c>
      <c r="D25" s="8" t="str">
        <f>HealthIndicatorsOah!D25</f>
        <v>% of people with Campylobacter</v>
      </c>
      <c r="E25" s="8" t="s">
        <v>27</v>
      </c>
      <c r="F25" s="6"/>
      <c r="G25" s="6" t="s">
        <v>7</v>
      </c>
      <c r="H25" s="8"/>
    </row>
    <row r="26" spans="1:8" x14ac:dyDescent="0.45">
      <c r="A26" s="7" t="str">
        <f>"http://hl7.eu/fhir/ig/oah/StructureDefinition/"&amp;LogicalModels!$A$7</f>
        <v>http://hl7.eu/fhir/ig/oah/StructureDefinition/HealthIndicators</v>
      </c>
      <c r="B26" s="40" t="s">
        <v>491</v>
      </c>
      <c r="C26" s="8" t="str">
        <f>HealthIndicatorsOah!A26</f>
        <v>diseasePrevalence.chlamydia</v>
      </c>
      <c r="D26" s="8" t="str">
        <f>HealthIndicatorsOah!D26</f>
        <v>% of people with Chlamydia Psittaci</v>
      </c>
      <c r="E26" s="8" t="s">
        <v>27</v>
      </c>
      <c r="F26" s="6"/>
      <c r="G26" s="6" t="s">
        <v>7</v>
      </c>
      <c r="H26" s="8"/>
    </row>
    <row r="27" spans="1:8" x14ac:dyDescent="0.45">
      <c r="A27" s="7" t="str">
        <f>"http://hl7.eu/fhir/ig/oah/StructureDefinition/"&amp;LogicalModels!$A$7</f>
        <v>http://hl7.eu/fhir/ig/oah/StructureDefinition/HealthIndicators</v>
      </c>
      <c r="B27" s="40" t="s">
        <v>491</v>
      </c>
      <c r="C27" s="8" t="str">
        <f>HealthIndicatorsOah!A27</f>
        <v>diseasePrevalence.cryptosporidium</v>
      </c>
      <c r="D27" s="8" t="str">
        <f>HealthIndicatorsOah!D27</f>
        <v>% of people with Cryptosporidium</v>
      </c>
      <c r="E27" s="8" t="s">
        <v>27</v>
      </c>
      <c r="F27" s="6"/>
      <c r="G27" s="6" t="s">
        <v>7</v>
      </c>
      <c r="H27" s="8"/>
    </row>
    <row r="28" spans="1:8" x14ac:dyDescent="0.45">
      <c r="A28" s="7" t="str">
        <f>"http://hl7.eu/fhir/ig/oah/StructureDefinition/"&amp;LogicalModels!$A$7</f>
        <v>http://hl7.eu/fhir/ig/oah/StructureDefinition/HealthIndicators</v>
      </c>
      <c r="B28" s="40" t="s">
        <v>491</v>
      </c>
      <c r="C28" s="8" t="str">
        <f>HealthIndicatorsOah!A28</f>
        <v>diseasePrevalence.entamoeba</v>
      </c>
      <c r="D28" s="8" t="str">
        <f>HealthIndicatorsOah!D28</f>
        <v>% of people with Entamoeba histolytica</v>
      </c>
      <c r="E28" s="8" t="s">
        <v>27</v>
      </c>
      <c r="F28" s="6"/>
      <c r="G28" s="6" t="s">
        <v>7</v>
      </c>
      <c r="H28" s="8"/>
    </row>
    <row r="29" spans="1:8" x14ac:dyDescent="0.45">
      <c r="A29" s="7" t="str">
        <f>"http://hl7.eu/fhir/ig/oah/StructureDefinition/"&amp;LogicalModels!$A$7</f>
        <v>http://hl7.eu/fhir/ig/oah/StructureDefinition/HealthIndicators</v>
      </c>
      <c r="B29" s="40" t="s">
        <v>491</v>
      </c>
      <c r="C29" s="8" t="str">
        <f>HealthIndicatorsOah!A29</f>
        <v>diseasePrevalence.escherichiaColi</v>
      </c>
      <c r="D29" s="8" t="str">
        <f>HealthIndicatorsOah!D29</f>
        <v>% of people with Escherichia Coli</v>
      </c>
      <c r="E29" s="8" t="s">
        <v>27</v>
      </c>
      <c r="F29" s="6"/>
      <c r="G29" s="6" t="s">
        <v>7</v>
      </c>
      <c r="H29" s="8"/>
    </row>
    <row r="30" spans="1:8" x14ac:dyDescent="0.45">
      <c r="A30" s="7" t="str">
        <f>"http://hl7.eu/fhir/ig/oah/StructureDefinition/"&amp;LogicalModels!$A$7</f>
        <v>http://hl7.eu/fhir/ig/oah/StructureDefinition/HealthIndicators</v>
      </c>
      <c r="B30" s="40" t="s">
        <v>491</v>
      </c>
      <c r="C30" s="8" t="str">
        <f>HealthIndicatorsOah!A30</f>
        <v>diseasePrevalence.giarda</v>
      </c>
      <c r="D30" s="8" t="str">
        <f>HealthIndicatorsOah!D30</f>
        <v>% of people with Giarda</v>
      </c>
      <c r="E30" s="8" t="s">
        <v>27</v>
      </c>
      <c r="F30" s="6"/>
      <c r="G30" s="6" t="s">
        <v>7</v>
      </c>
      <c r="H30" s="8"/>
    </row>
    <row r="31" spans="1:8" x14ac:dyDescent="0.45">
      <c r="A31" s="7" t="str">
        <f>"http://hl7.eu/fhir/ig/oah/StructureDefinition/"&amp;LogicalModels!$A$7</f>
        <v>http://hl7.eu/fhir/ig/oah/StructureDefinition/HealthIndicators</v>
      </c>
      <c r="B31" s="40" t="s">
        <v>491</v>
      </c>
      <c r="C31" s="8" t="str">
        <f>HealthIndicatorsOah!A31</f>
        <v>diseasePrevalence.salmonella</v>
      </c>
      <c r="D31" s="8" t="str">
        <f>HealthIndicatorsOah!D31</f>
        <v>% of people with Salmonella</v>
      </c>
      <c r="E31" s="8" t="s">
        <v>27</v>
      </c>
      <c r="F31" s="6"/>
      <c r="G31" s="6" t="s">
        <v>7</v>
      </c>
      <c r="H31" s="8"/>
    </row>
    <row r="32" spans="1:8" x14ac:dyDescent="0.45">
      <c r="A32" s="7" t="str">
        <f>"http://hl7.eu/fhir/ig/oah/StructureDefinition/"&amp;LogicalModels!$A$7</f>
        <v>http://hl7.eu/fhir/ig/oah/StructureDefinition/HealthIndicators</v>
      </c>
      <c r="B32" s="40" t="s">
        <v>491</v>
      </c>
      <c r="C32" s="8" t="str">
        <f>HealthIndicatorsOah!A32</f>
        <v>diseasePrevalence.yersiniaEnterocolitica</v>
      </c>
      <c r="D32" s="8" t="str">
        <f>HealthIndicatorsOah!D32</f>
        <v>% of people with Yersinia enterocolitica</v>
      </c>
      <c r="E32" s="8" t="s">
        <v>27</v>
      </c>
      <c r="F32" s="6"/>
      <c r="G32" s="6" t="s">
        <v>7</v>
      </c>
      <c r="H32" s="8"/>
    </row>
    <row r="33" spans="1:8" x14ac:dyDescent="0.45">
      <c r="A33" s="7" t="str">
        <f>"http://hl7.eu/fhir/ig/oah/StructureDefinition/"&amp;LogicalModels!$A$7</f>
        <v>http://hl7.eu/fhir/ig/oah/StructureDefinition/HealthIndicators</v>
      </c>
      <c r="B33" s="40" t="s">
        <v>491</v>
      </c>
      <c r="C33" s="8" t="str">
        <f>HealthIndicatorsOah!A33</f>
        <v>causesOfDeath</v>
      </c>
      <c r="D33" s="8" t="str">
        <f>HealthIndicatorsOah!D33</f>
        <v>Cases of death</v>
      </c>
      <c r="E33" s="8" t="s">
        <v>27</v>
      </c>
      <c r="F33" s="6"/>
      <c r="G33" s="6" t="s">
        <v>7</v>
      </c>
      <c r="H33" s="8"/>
    </row>
    <row r="34" spans="1:8" x14ac:dyDescent="0.45">
      <c r="A34" s="7" t="str">
        <f>"http://hl7.eu/fhir/ig/oah/StructureDefinition/"&amp;LogicalModels!$A$7</f>
        <v>http://hl7.eu/fhir/ig/oah/StructureDefinition/HealthIndicators</v>
      </c>
      <c r="B34" s="40" t="s">
        <v>491</v>
      </c>
      <c r="C34" s="8" t="str">
        <f>HealthIndicatorsOah!A34</f>
        <v>causesOfDeath.tbc</v>
      </c>
      <c r="D34" s="8" t="str">
        <f>HealthIndicatorsOah!D34</f>
        <v>% of deaths due to TBC</v>
      </c>
      <c r="E34" s="8" t="s">
        <v>27</v>
      </c>
      <c r="F34" s="6"/>
      <c r="G34" s="6" t="s">
        <v>7</v>
      </c>
      <c r="H34" s="8"/>
    </row>
    <row r="35" spans="1:8" x14ac:dyDescent="0.45">
      <c r="A35" s="7" t="str">
        <f>"http://hl7.eu/fhir/ig/oah/StructureDefinition/"&amp;LogicalModels!$A$7</f>
        <v>http://hl7.eu/fhir/ig/oah/StructureDefinition/HealthIndicators</v>
      </c>
      <c r="B35" s="40" t="s">
        <v>491</v>
      </c>
      <c r="C35" s="8" t="str">
        <f>HealthIndicatorsOah!A35</f>
        <v>causesOfDeath.viralHepatitis</v>
      </c>
      <c r="D35" s="8" t="str">
        <f>HealthIndicatorsOah!D35</f>
        <v>% of deaths due to Viral Hepatitis</v>
      </c>
      <c r="E35" s="8" t="s">
        <v>27</v>
      </c>
      <c r="F35" s="6"/>
      <c r="G35" s="6" t="s">
        <v>7</v>
      </c>
      <c r="H35" s="8"/>
    </row>
    <row r="36" spans="1:8" x14ac:dyDescent="0.45">
      <c r="A36" s="7" t="str">
        <f>"http://hl7.eu/fhir/ig/oah/StructureDefinition/"&amp;LogicalModels!$A$7</f>
        <v>http://hl7.eu/fhir/ig/oah/StructureDefinition/HealthIndicators</v>
      </c>
      <c r="B36" s="40" t="s">
        <v>491</v>
      </c>
      <c r="C36" s="8" t="str">
        <f>HealthIndicatorsOah!A36</f>
        <v>causesOfDeath.infectiveAndParasitic</v>
      </c>
      <c r="D36" s="8" t="str">
        <f>HealthIndicatorsOah!D36</f>
        <v>% of deaths due to infective and parasitic diseases</v>
      </c>
      <c r="E36" s="8" t="s">
        <v>27</v>
      </c>
      <c r="F36" s="6"/>
      <c r="G36" s="6" t="s">
        <v>7</v>
      </c>
      <c r="H36" s="8"/>
    </row>
    <row r="37" spans="1:8" ht="28.5" x14ac:dyDescent="0.45">
      <c r="A37" s="7" t="str">
        <f>"http://hl7.eu/fhir/ig/oah/StructureDefinition/"&amp;LogicalModels!$A$7</f>
        <v>http://hl7.eu/fhir/ig/oah/StructureDefinition/HealthIndicators</v>
      </c>
      <c r="B37" s="40" t="s">
        <v>491</v>
      </c>
      <c r="C37" s="8" t="str">
        <f>HealthIndicatorsOah!A37</f>
        <v>causesOfDeath.bloodAndHematopoieticOrgans</v>
      </c>
      <c r="D37" s="8" t="str">
        <f>HealthIndicatorsOah!D37</f>
        <v>% of deaths due to diseases of the blood and hematopoietic organs</v>
      </c>
      <c r="E37" s="8" t="s">
        <v>27</v>
      </c>
      <c r="F37" s="6"/>
      <c r="G37" s="6" t="s">
        <v>7</v>
      </c>
      <c r="H37" s="8"/>
    </row>
    <row r="38" spans="1:8" x14ac:dyDescent="0.45">
      <c r="A38" s="7" t="str">
        <f>"http://hl7.eu/fhir/ig/oah/StructureDefinition/"&amp;LogicalModels!$A$7</f>
        <v>http://hl7.eu/fhir/ig/oah/StructureDefinition/HealthIndicators</v>
      </c>
      <c r="B38" s="40" t="s">
        <v>491</v>
      </c>
      <c r="C38" s="8" t="str">
        <f>HealthIndicatorsOah!A38</f>
        <v>causesOfDeath.diabetesMellitus</v>
      </c>
      <c r="D38" s="8" t="str">
        <f>HealthIndicatorsOah!D38</f>
        <v>% of deaths due to Diabetes Mellitus</v>
      </c>
      <c r="E38" s="8" t="s">
        <v>27</v>
      </c>
      <c r="F38" s="6"/>
      <c r="G38" s="6" t="s">
        <v>7</v>
      </c>
      <c r="H38" s="8"/>
    </row>
    <row r="39" spans="1:8" ht="28.5" x14ac:dyDescent="0.45">
      <c r="A39" s="7" t="str">
        <f>"http://hl7.eu/fhir/ig/oah/StructureDefinition/"&amp;LogicalModels!$A$7</f>
        <v>http://hl7.eu/fhir/ig/oah/StructureDefinition/HealthIndicators</v>
      </c>
      <c r="B39" s="40" t="s">
        <v>491</v>
      </c>
      <c r="C39" s="8" t="str">
        <f>HealthIndicatorsOah!A39</f>
        <v>causesOfDeath.endocrineNutritionalMetabolic</v>
      </c>
      <c r="D39" s="8" t="str">
        <f>HealthIndicatorsOah!D39</f>
        <v>% of deaths due to endocrine, nutritional and metabolic diseases</v>
      </c>
      <c r="E39" s="8" t="s">
        <v>27</v>
      </c>
      <c r="F39" s="6"/>
      <c r="G39" s="6" t="s">
        <v>7</v>
      </c>
      <c r="H39" s="8"/>
    </row>
    <row r="40" spans="1:8" x14ac:dyDescent="0.45">
      <c r="A40" s="7" t="str">
        <f>"http://hl7.eu/fhir/ig/oah/StructureDefinition/"&amp;LogicalModels!$A$7</f>
        <v>http://hl7.eu/fhir/ig/oah/StructureDefinition/HealthIndicators</v>
      </c>
      <c r="B40" s="40" t="s">
        <v>491</v>
      </c>
      <c r="C40" s="8" t="str">
        <f>HealthIndicatorsOah!A40</f>
        <v>causesOfDeath.ischemicHeart</v>
      </c>
      <c r="D40" s="8" t="str">
        <f>HealthIndicatorsOah!D40</f>
        <v>% of deaths due to ischemic diseases of the heart</v>
      </c>
      <c r="E40" s="8" t="s">
        <v>27</v>
      </c>
      <c r="F40" s="6"/>
      <c r="G40" s="6" t="s">
        <v>7</v>
      </c>
      <c r="H40" s="8"/>
    </row>
    <row r="41" spans="1:8" x14ac:dyDescent="0.45">
      <c r="A41" s="7" t="str">
        <f>"http://hl7.eu/fhir/ig/oah/StructureDefinition/"&amp;LogicalModels!$A$7</f>
        <v>http://hl7.eu/fhir/ig/oah/StructureDefinition/HealthIndicators</v>
      </c>
      <c r="B41" s="40" t="s">
        <v>491</v>
      </c>
      <c r="C41" s="8" t="str">
        <f>HealthIndicatorsOah!A41</f>
        <v>causesOfDeath.otherHeart</v>
      </c>
      <c r="D41" s="8" t="str">
        <f>HealthIndicatorsOah!D41</f>
        <v>% of deaths due to other diseases of the heart</v>
      </c>
      <c r="E41" s="8" t="s">
        <v>27</v>
      </c>
      <c r="F41" s="6"/>
      <c r="G41" s="6" t="s">
        <v>7</v>
      </c>
      <c r="H41" s="8"/>
    </row>
    <row r="42" spans="1:8" ht="28.5" x14ac:dyDescent="0.45">
      <c r="A42" s="7" t="str">
        <f>"http://hl7.eu/fhir/ig/oah/StructureDefinition/"&amp;LogicalModels!$A$7</f>
        <v>http://hl7.eu/fhir/ig/oah/StructureDefinition/HealthIndicators</v>
      </c>
      <c r="B42" s="40" t="s">
        <v>491</v>
      </c>
      <c r="C42" s="8" t="str">
        <f>HealthIndicatorsOah!A42</f>
        <v xml:space="preserve">causesOfDeath.otherCirculatorySystem </v>
      </c>
      <c r="D42" s="8" t="str">
        <f>HealthIndicatorsOah!D42</f>
        <v xml:space="preserve">% of deaths due to other diseases of the circulatory system </v>
      </c>
      <c r="E42" s="8" t="s">
        <v>27</v>
      </c>
      <c r="F42" s="6"/>
      <c r="G42" s="6" t="s">
        <v>7</v>
      </c>
      <c r="H42" s="8"/>
    </row>
    <row r="43" spans="1:8" x14ac:dyDescent="0.45">
      <c r="A43" s="7" t="str">
        <f>"http://hl7.eu/fhir/ig/oah/StructureDefinition/"&amp;LogicalModels!$A$7</f>
        <v>http://hl7.eu/fhir/ig/oah/StructureDefinition/HealthIndicators</v>
      </c>
      <c r="B43" s="40" t="s">
        <v>491</v>
      </c>
      <c r="C43" s="8" t="str">
        <f>HealthIndicatorsOah!A43</f>
        <v>causesOfDeath.pneumonia</v>
      </c>
      <c r="D43" s="8" t="str">
        <f>HealthIndicatorsOah!D43</f>
        <v>% of deaths due to Pneumonia</v>
      </c>
      <c r="E43" s="8" t="s">
        <v>27</v>
      </c>
      <c r="F43" s="6"/>
      <c r="G43" s="6" t="s">
        <v>7</v>
      </c>
      <c r="H43" s="8"/>
    </row>
    <row r="44" spans="1:8" ht="28.5" x14ac:dyDescent="0.45">
      <c r="A44" s="7" t="str">
        <f>"http://hl7.eu/fhir/ig/oah/StructureDefinition/"&amp;LogicalModels!$A$7</f>
        <v>http://hl7.eu/fhir/ig/oah/StructureDefinition/HealthIndicators</v>
      </c>
      <c r="B44" s="40" t="s">
        <v>491</v>
      </c>
      <c r="C44" s="8" t="str">
        <f>HealthIndicatorsOah!A44</f>
        <v>causesOfDeath.chronicLowerRespiratory</v>
      </c>
      <c r="D44" s="8" t="str">
        <f>HealthIndicatorsOah!D44</f>
        <v>% of deaths due to chronic diseases of the lower respiratory tract</v>
      </c>
      <c r="E44" s="8" t="s">
        <v>27</v>
      </c>
      <c r="F44" s="6"/>
      <c r="G44" s="6" t="s">
        <v>7</v>
      </c>
      <c r="H44" s="8"/>
    </row>
    <row r="45" spans="1:8" ht="28.5" x14ac:dyDescent="0.45">
      <c r="A45" s="7" t="str">
        <f>"http://hl7.eu/fhir/ig/oah/StructureDefinition/"&amp;LogicalModels!$A$7</f>
        <v>http://hl7.eu/fhir/ig/oah/StructureDefinition/HealthIndicators</v>
      </c>
      <c r="B45" s="40" t="s">
        <v>491</v>
      </c>
      <c r="C45" s="8" t="str">
        <f>HealthIndicatorsOah!A45</f>
        <v>causesOfDeath.otherRespiratorySystem</v>
      </c>
      <c r="D45" s="8" t="str">
        <f>HealthIndicatorsOah!D45</f>
        <v>% of deaths due to other diseases of the respiratory system</v>
      </c>
      <c r="E45" s="8" t="s">
        <v>27</v>
      </c>
      <c r="F45" s="6"/>
      <c r="G45" s="6" t="s">
        <v>7</v>
      </c>
      <c r="H45" s="8"/>
    </row>
    <row r="46" spans="1:8" ht="28.5" x14ac:dyDescent="0.45">
      <c r="A46" s="7" t="str">
        <f>"http://hl7.eu/fhir/ig/oah/StructureDefinition/"&amp;LogicalModels!$A$7</f>
        <v>http://hl7.eu/fhir/ig/oah/StructureDefinition/HealthIndicators</v>
      </c>
      <c r="B46" s="40" t="s">
        <v>491</v>
      </c>
      <c r="C46" s="8" t="str">
        <f>HealthIndicatorsOah!A46</f>
        <v>causesOfDeath.SkinSubcutaneousTissue</v>
      </c>
      <c r="D46" s="8" t="str">
        <f>HealthIndicatorsOah!D46</f>
        <v>% of deaths due to diseases of the skin and subcutaneous tissue</v>
      </c>
      <c r="E46" s="8" t="s">
        <v>27</v>
      </c>
      <c r="F46" s="6"/>
      <c r="G46" s="6" t="s">
        <v>7</v>
      </c>
      <c r="H46" s="8"/>
    </row>
    <row r="47" spans="1:8" x14ac:dyDescent="0.45">
      <c r="A47" s="7" t="str">
        <f>"http://hl7.eu/fhir/ig/oah/StructureDefinition/"&amp;LogicalModels!$A$7</f>
        <v>http://hl7.eu/fhir/ig/oah/StructureDefinition/HealthIndicators</v>
      </c>
      <c r="B47" s="40" t="s">
        <v>491</v>
      </c>
      <c r="C47" s="8" t="str">
        <f>HealthIndicatorsOah!A47</f>
        <v>causesOfDeath.accidentalPoisoning</v>
      </c>
      <c r="D47" s="8" t="str">
        <f>HealthIndicatorsOah!D47</f>
        <v>% of deaths due to accidental poisoning</v>
      </c>
      <c r="E47" s="8" t="s">
        <v>27</v>
      </c>
      <c r="F47" s="6"/>
      <c r="G47" s="6" t="s">
        <v>7</v>
      </c>
      <c r="H47" s="8"/>
    </row>
    <row r="48" spans="1:8" x14ac:dyDescent="0.45">
      <c r="A48" s="7" t="str">
        <f>"http://hl7.eu/fhir/ig/oah/StructureDefinition/"&amp;LogicalModels!$A$7</f>
        <v>http://hl7.eu/fhir/ig/oah/StructureDefinition/HealthIndicators</v>
      </c>
      <c r="B48" s="40" t="s">
        <v>491</v>
      </c>
      <c r="C48" s="8" t="str">
        <f>HealthIndicatorsOah!A48</f>
        <v>causesOfDeath.malignantTumor</v>
      </c>
      <c r="D48" s="8" t="str">
        <f>HealthIndicatorsOah!D48</f>
        <v>% of deaths due to Malignant Tumors</v>
      </c>
      <c r="E48" s="8" t="s">
        <v>27</v>
      </c>
      <c r="F48" s="6"/>
      <c r="G48" s="6" t="s">
        <v>7</v>
      </c>
      <c r="H48" s="8"/>
    </row>
    <row r="49" spans="1:8" x14ac:dyDescent="0.45">
      <c r="A49" s="7" t="str">
        <f>"http://hl7.eu/fhir/ig/oah/StructureDefinition/"&amp;LogicalModels!$A$7</f>
        <v>http://hl7.eu/fhir/ig/oah/StructureDefinition/HealthIndicators</v>
      </c>
      <c r="B49" s="40" t="s">
        <v>491</v>
      </c>
      <c r="C49" s="8" t="str">
        <f>HealthIndicatorsOah!A49</f>
        <v xml:space="preserve">causesOfDeath.healthcareSensitiveCauses </v>
      </c>
      <c r="D49" s="8" t="str">
        <f>HealthIndicatorsOah!D49</f>
        <v xml:space="preserve">% of deaths due to Healthcare-Sensitive Causes </v>
      </c>
      <c r="E49" s="8" t="s">
        <v>27</v>
      </c>
      <c r="F49" s="6"/>
      <c r="G49" s="6" t="s">
        <v>7</v>
      </c>
      <c r="H49" s="8"/>
    </row>
    <row r="50" spans="1:8" x14ac:dyDescent="0.45">
      <c r="A50" s="7" t="str">
        <f>"http://hl7.eu/fhir/ig/oah/StructureDefinition/"&amp;LogicalModels!$A$7</f>
        <v>http://hl7.eu/fhir/ig/oah/StructureDefinition/HealthIndicators</v>
      </c>
      <c r="B50" s="40" t="s">
        <v>491</v>
      </c>
      <c r="C50" s="8" t="str">
        <f>HealthIndicatorsOah!A50</f>
        <v>causesOfDeath.winterExcess</v>
      </c>
      <c r="D50" s="8" t="str">
        <f>HealthIndicatorsOah!D50</f>
        <v>% of Excess Mortality in Winter</v>
      </c>
      <c r="E50" s="8" t="s">
        <v>27</v>
      </c>
      <c r="F50" s="6"/>
      <c r="G50" s="6" t="s">
        <v>7</v>
      </c>
      <c r="H50" s="8"/>
    </row>
    <row r="51" spans="1:8" x14ac:dyDescent="0.45">
      <c r="A51" s="7" t="str">
        <f>"http://hl7.eu/fhir/ig/oah/StructureDefinition/"&amp;LogicalModels!$A$7</f>
        <v>http://hl7.eu/fhir/ig/oah/StructureDefinition/HealthIndicators</v>
      </c>
      <c r="B51" s="40" t="s">
        <v>491</v>
      </c>
      <c r="C51" s="8" t="str">
        <f>HealthIndicatorsOah!A51</f>
        <v>causesOfDeath.all</v>
      </c>
      <c r="D51" s="8" t="str">
        <f>HealthIndicatorsOah!D51</f>
        <v>% of deaths due to all causes</v>
      </c>
      <c r="E51" s="8" t="s">
        <v>27</v>
      </c>
      <c r="F51" s="6"/>
      <c r="G51" s="6" t="s">
        <v>7</v>
      </c>
      <c r="H51" s="8"/>
    </row>
    <row r="52" spans="1:8" x14ac:dyDescent="0.45">
      <c r="A52" s="7" t="str">
        <f>"http://hl7.eu/fhir/ig/oah/StructureDefinition/"&amp;LogicalModels!$A$7</f>
        <v>http://hl7.eu/fhir/ig/oah/StructureDefinition/HealthIndicators</v>
      </c>
      <c r="B52" s="40" t="s">
        <v>491</v>
      </c>
      <c r="C52" s="8" t="str">
        <f>HealthIndicatorsOah!A52</f>
        <v>causesOfDeath.cancer</v>
      </c>
      <c r="D52" s="8" t="str">
        <f>HealthIndicatorsOah!D52</f>
        <v>% of deaths due to cancer</v>
      </c>
      <c r="E52" s="8" t="s">
        <v>27</v>
      </c>
      <c r="F52" s="6"/>
      <c r="G52" s="6" t="s">
        <v>7</v>
      </c>
      <c r="H52" s="8"/>
    </row>
    <row r="53" spans="1:8" x14ac:dyDescent="0.45">
      <c r="A53" s="7" t="str">
        <f>"http://hl7.eu/fhir/ig/oah/StructureDefinition/"&amp;LogicalModels!$A$7</f>
        <v>http://hl7.eu/fhir/ig/oah/StructureDefinition/HealthIndicators</v>
      </c>
      <c r="B53" s="40" t="s">
        <v>491</v>
      </c>
      <c r="C53" s="8" t="str">
        <f>HealthIndicatorsOah!A53</f>
        <v>causesOfDeath.diabetes</v>
      </c>
      <c r="D53" s="8" t="str">
        <f>HealthIndicatorsOah!D53</f>
        <v>% of deaths due to diabetes</v>
      </c>
      <c r="E53" s="8" t="s">
        <v>27</v>
      </c>
      <c r="F53" s="6"/>
      <c r="G53" s="6" t="s">
        <v>7</v>
      </c>
      <c r="H53" s="8"/>
    </row>
    <row r="54" spans="1:8" x14ac:dyDescent="0.45">
      <c r="A54" s="7" t="str">
        <f>"http://hl7.eu/fhir/ig/oah/StructureDefinition/"&amp;LogicalModels!$A$7</f>
        <v>http://hl7.eu/fhir/ig/oah/StructureDefinition/HealthIndicators</v>
      </c>
      <c r="B54" s="40" t="s">
        <v>491</v>
      </c>
      <c r="C54" s="8" t="str">
        <f>HealthIndicatorsOah!A54</f>
        <v>causesOfDeath.cardiovascular</v>
      </c>
      <c r="D54" s="8" t="str">
        <f>HealthIndicatorsOah!D54</f>
        <v>% of deaths due to cardiovascular disease</v>
      </c>
      <c r="E54" s="8" t="s">
        <v>27</v>
      </c>
      <c r="F54" s="6"/>
      <c r="G54" s="6" t="s">
        <v>7</v>
      </c>
      <c r="H54" s="8"/>
    </row>
    <row r="55" spans="1:8" x14ac:dyDescent="0.45">
      <c r="A55" s="7" t="str">
        <f>"http://hl7.eu/fhir/ig/oah/StructureDefinition/"&amp;LogicalModels!$A$7</f>
        <v>http://hl7.eu/fhir/ig/oah/StructureDefinition/HealthIndicators</v>
      </c>
      <c r="B55" s="40" t="s">
        <v>491</v>
      </c>
      <c r="C55" s="8" t="str">
        <f>HealthIndicatorsOah!A55</f>
        <v>causesOfDeath.respiratory</v>
      </c>
      <c r="D55" s="8" t="str">
        <f>HealthIndicatorsOah!D55</f>
        <v>% of deaths due to respiratory disease</v>
      </c>
      <c r="E55" s="8" t="s">
        <v>27</v>
      </c>
      <c r="F55" s="6"/>
      <c r="G55" s="6" t="s">
        <v>7</v>
      </c>
      <c r="H55" s="8"/>
    </row>
    <row r="56" spans="1:8" x14ac:dyDescent="0.45">
      <c r="A56" s="7" t="str">
        <f>"http://hl7.eu/fhir/ig/oah/StructureDefinition/"&amp;LogicalModels!$A$7</f>
        <v>http://hl7.eu/fhir/ig/oah/StructureDefinition/HealthIndicators</v>
      </c>
      <c r="B56" s="40" t="s">
        <v>491</v>
      </c>
      <c r="C56" s="8" t="str">
        <f>HealthIndicatorsOah!A56</f>
        <v>causesOfDeath.COPDLungCancer</v>
      </c>
      <c r="D56" s="8" t="str">
        <f>HealthIndicatorsOah!D56</f>
        <v>% of deaths due to COPD and lung cancer</v>
      </c>
      <c r="E56" s="8" t="s">
        <v>27</v>
      </c>
      <c r="F56" s="6"/>
      <c r="G56" s="6" t="s">
        <v>7</v>
      </c>
      <c r="H56" s="8"/>
    </row>
    <row r="57" spans="1:8" x14ac:dyDescent="0.45">
      <c r="A57" s="7" t="str">
        <f>"http://hl7.eu/fhir/ig/oah/StructureDefinition/"&amp;LogicalModels!$A$7</f>
        <v>http://hl7.eu/fhir/ig/oah/StructureDefinition/HealthIndicators</v>
      </c>
      <c r="B57" s="40" t="s">
        <v>491</v>
      </c>
      <c r="C57" s="8" t="str">
        <f>HealthIndicatorsOah!A57</f>
        <v>hospitalization</v>
      </c>
      <c r="D57" s="8">
        <f>HealthIndicatorsOah!D57</f>
        <v>0</v>
      </c>
      <c r="E57" s="8" t="s">
        <v>27</v>
      </c>
      <c r="F57" s="6"/>
      <c r="G57" s="6" t="s">
        <v>7</v>
      </c>
      <c r="H57" s="8"/>
    </row>
    <row r="58" spans="1:8" x14ac:dyDescent="0.45">
      <c r="A58" s="7" t="str">
        <f>"http://hl7.eu/fhir/ig/oah/StructureDefinition/"&amp;LogicalModels!$A$7</f>
        <v>http://hl7.eu/fhir/ig/oah/StructureDefinition/HealthIndicators</v>
      </c>
      <c r="B58" s="40" t="s">
        <v>491</v>
      </c>
      <c r="C58" s="8" t="str">
        <f>HealthIndicatorsOah!A58</f>
        <v>hospitalization.diabetesMellitus</v>
      </c>
      <c r="D58" s="8" t="str">
        <f>HealthIndicatorsOah!D58</f>
        <v>% of hospitalizations due to Diabetes Mellitus</v>
      </c>
      <c r="E58" s="8" t="s">
        <v>27</v>
      </c>
      <c r="F58" s="6"/>
      <c r="G58" s="6" t="s">
        <v>7</v>
      </c>
      <c r="H58" s="8"/>
    </row>
    <row r="59" spans="1:8" x14ac:dyDescent="0.45">
      <c r="A59" s="7" t="str">
        <f>"http://hl7.eu/fhir/ig/oah/StructureDefinition/"&amp;LogicalModels!$A$7</f>
        <v>http://hl7.eu/fhir/ig/oah/StructureDefinition/HealthIndicators</v>
      </c>
      <c r="B59" s="40" t="s">
        <v>491</v>
      </c>
      <c r="C59" s="8" t="str">
        <f>HealthIndicatorsOah!A59</f>
        <v>hospitalization.malignantTumor</v>
      </c>
      <c r="D59" s="8" t="str">
        <f>HealthIndicatorsOah!D59</f>
        <v>% of hospitalizations due to malignant tumors</v>
      </c>
      <c r="E59" s="8" t="s">
        <v>27</v>
      </c>
      <c r="F59" s="6"/>
      <c r="G59" s="6" t="s">
        <v>7</v>
      </c>
      <c r="H59" s="8"/>
    </row>
    <row r="60" spans="1:8" x14ac:dyDescent="0.45">
      <c r="A60" s="7" t="str">
        <f>"http://hl7.eu/fhir/ig/oah/StructureDefinition/"&amp;LogicalModels!$A$7</f>
        <v>http://hl7.eu/fhir/ig/oah/StructureDefinition/HealthIndicators</v>
      </c>
      <c r="B60" s="40" t="s">
        <v>491</v>
      </c>
      <c r="C60" s="8" t="str">
        <f>HealthIndicatorsOah!A60</f>
        <v>hospitalization.hypertension</v>
      </c>
      <c r="D60" s="8" t="str">
        <f>HealthIndicatorsOah!D60</f>
        <v>% of hospitalizations due to Hypertension</v>
      </c>
      <c r="E60" s="8" t="s">
        <v>27</v>
      </c>
      <c r="F60" s="6"/>
      <c r="G60" s="6" t="s">
        <v>7</v>
      </c>
      <c r="H60" s="8"/>
    </row>
    <row r="61" spans="1:8" ht="28.5" x14ac:dyDescent="0.45">
      <c r="A61" s="7" t="str">
        <f>"http://hl7.eu/fhir/ig/oah/StructureDefinition/"&amp;LogicalModels!$A$7</f>
        <v>http://hl7.eu/fhir/ig/oah/StructureDefinition/HealthIndicators</v>
      </c>
      <c r="B61" s="40" t="s">
        <v>491</v>
      </c>
      <c r="C61" s="8" t="str">
        <f>HealthIndicatorsOah!A61</f>
        <v>hospitalization.cardiovascular</v>
      </c>
      <c r="D61" s="8" t="str">
        <f>HealthIndicatorsOah!D61</f>
        <v>% of hospitalizations due to Circulatory System Diseases</v>
      </c>
      <c r="E61" s="8" t="s">
        <v>27</v>
      </c>
      <c r="F61" s="6"/>
      <c r="G61" s="6" t="s">
        <v>7</v>
      </c>
      <c r="H61" s="8"/>
    </row>
    <row r="62" spans="1:8" x14ac:dyDescent="0.45">
      <c r="A62" s="7" t="str">
        <f>"http://hl7.eu/fhir/ig/oah/StructureDefinition/"&amp;LogicalModels!$A$7</f>
        <v>http://hl7.eu/fhir/ig/oah/StructureDefinition/HealthIndicators</v>
      </c>
      <c r="B62" s="40" t="s">
        <v>491</v>
      </c>
      <c r="C62" s="8" t="str">
        <f>HealthIndicatorsOah!A62</f>
        <v>hospitalization.respiratory</v>
      </c>
      <c r="D62" s="8" t="str">
        <f>HealthIndicatorsOah!D62</f>
        <v>% of hospitalizations due to respiratory diseases</v>
      </c>
      <c r="E62" s="8" t="s">
        <v>27</v>
      </c>
      <c r="F62" s="6"/>
      <c r="G62" s="6" t="s">
        <v>7</v>
      </c>
      <c r="H62" s="8"/>
    </row>
    <row r="63" spans="1:8" x14ac:dyDescent="0.45">
      <c r="A63" s="7" t="str">
        <f>"http://hl7.eu/fhir/ig/oah/StructureDefinition/"&amp;LogicalModels!$A$7</f>
        <v>http://hl7.eu/fhir/ig/oah/StructureDefinition/HealthIndicators</v>
      </c>
      <c r="B63" s="40" t="s">
        <v>491</v>
      </c>
      <c r="C63" s="8" t="str">
        <f>HealthIndicatorsOah!A63</f>
        <v>hospitalization.asthma</v>
      </c>
      <c r="D63" s="8" t="str">
        <f>HealthIndicatorsOah!D63</f>
        <v>% of hospitalizations for Asthma</v>
      </c>
      <c r="E63" s="8" t="s">
        <v>27</v>
      </c>
      <c r="F63" s="6"/>
      <c r="G63" s="6" t="s">
        <v>7</v>
      </c>
      <c r="H63" s="8"/>
    </row>
    <row r="64" spans="1:8" ht="28.5" x14ac:dyDescent="0.45">
      <c r="A64" s="7" t="str">
        <f>"http://hl7.eu/fhir/ig/oah/StructureDefinition/"&amp;LogicalModels!$A$7</f>
        <v>http://hl7.eu/fhir/ig/oah/StructureDefinition/HealthIndicators</v>
      </c>
      <c r="B64" s="40" t="s">
        <v>491</v>
      </c>
      <c r="C64" s="8" t="str">
        <f>HealthIndicatorsOah!A64</f>
        <v>hospitalization.avoidablePrimaryPrevention</v>
      </c>
      <c r="D64" s="8" t="str">
        <f>HealthIndicatorsOah!D64</f>
        <v xml:space="preserve">% of hospitalizations avoidable by primary prevention
</v>
      </c>
      <c r="E64" s="8" t="s">
        <v>27</v>
      </c>
      <c r="F64" s="6"/>
      <c r="G64" s="6" t="s">
        <v>7</v>
      </c>
      <c r="H64" s="8"/>
    </row>
  </sheetData>
  <hyperlinks>
    <hyperlink ref="A1" r:id="rId1" display="http://hl7.eu/fhir/hdr/StructureDefinition/composition-eu-hdr" xr:uid="{7ECBB079-59D4-430D-A63D-DA6562D0849D}"/>
    <hyperlink ref="B2" r:id="rId2" xr:uid="{90723054-B35E-4066-95F6-D6C3AEAB7AC6}"/>
    <hyperlink ref="B3:B32" r:id="rId3" display="http://hl7.eu/fhir/ig/oah/StructureDefinition/observation-health-measure-oah" xr:uid="{71C462B5-7360-4020-99CD-1D62E47FDF48}"/>
    <hyperlink ref="B33" r:id="rId4" xr:uid="{A0C2A0F4-FF28-4D4B-932C-2CB02832C153}"/>
    <hyperlink ref="B34" r:id="rId5" xr:uid="{A8EBED29-ADA1-4E0F-AC36-77C079531A7D}"/>
    <hyperlink ref="B35" r:id="rId6" xr:uid="{A4C037E0-5996-4F31-BDA8-EBCF245E1784}"/>
    <hyperlink ref="B36" r:id="rId7" xr:uid="{F6AB5A71-196D-4074-889F-86CE62AB2D53}"/>
    <hyperlink ref="B37" r:id="rId8" xr:uid="{6992DCD7-A3DA-418C-B173-0358C61AFA95}"/>
    <hyperlink ref="B38" r:id="rId9" xr:uid="{CFE2FB17-A4F0-4BD6-B858-9567CDE2819A}"/>
    <hyperlink ref="B39" r:id="rId10" xr:uid="{393A5CD2-A97F-47D5-9DA4-A7F7271D0645}"/>
    <hyperlink ref="B40" r:id="rId11" xr:uid="{9D507041-BF92-4851-B697-BB9B8062193E}"/>
    <hyperlink ref="B41" r:id="rId12" xr:uid="{12178CA8-8BF0-4551-86A1-0A56956A1FE2}"/>
    <hyperlink ref="B42" r:id="rId13" xr:uid="{B98F0FD6-3803-424A-826B-C997D95CB0C3}"/>
    <hyperlink ref="B43" r:id="rId14" xr:uid="{E6A13994-A7D7-4782-A8DB-73D8A2B3290E}"/>
    <hyperlink ref="B44" r:id="rId15" xr:uid="{7FC4C96E-74B1-4B1F-930E-4E312AD2E826}"/>
    <hyperlink ref="B45" r:id="rId16" xr:uid="{46A807D9-9027-40AE-93B9-C6B209AF58DA}"/>
    <hyperlink ref="B46" r:id="rId17" xr:uid="{68C94EB1-7235-499D-8F21-11C69832E0F3}"/>
    <hyperlink ref="B47" r:id="rId18" xr:uid="{F06237A8-E640-4E7E-A082-F2BC2BED78EC}"/>
    <hyperlink ref="B48" r:id="rId19" xr:uid="{C888DAC6-3711-4670-8D7A-1B1812FD9651}"/>
    <hyperlink ref="B49" r:id="rId20" xr:uid="{F152199A-3B33-4E8B-9569-E765B514FC06}"/>
    <hyperlink ref="B50" r:id="rId21" xr:uid="{DD2B24B0-7A83-4DCC-AC66-9C9155CCD483}"/>
    <hyperlink ref="B51" r:id="rId22" xr:uid="{BD28DC85-8833-44B6-8313-3339DE544490}"/>
    <hyperlink ref="B52" r:id="rId23" xr:uid="{E0893EE2-FF1A-4406-9A68-BA70A3F8982A}"/>
    <hyperlink ref="B53" r:id="rId24" xr:uid="{98FBBBC8-DA13-494D-9B3F-0F3011E83B45}"/>
    <hyperlink ref="B54" r:id="rId25" xr:uid="{370A45EC-0A63-4FBF-A223-BB15B7BD86CD}"/>
    <hyperlink ref="B55" r:id="rId26" xr:uid="{0E64F1BC-136E-4C53-BA5B-E4E4D9C919B2}"/>
    <hyperlink ref="B56" r:id="rId27" xr:uid="{7710D6BE-BF89-4C5B-89F1-BD06F88903A8}"/>
    <hyperlink ref="B57" r:id="rId28" xr:uid="{E3DDE7D2-1DD4-44D7-ADE5-573203DB93D8}"/>
    <hyperlink ref="B58" r:id="rId29" xr:uid="{589ECA41-F587-4D3B-A69E-3B7AD1E3EFD8}"/>
    <hyperlink ref="B59" r:id="rId30" xr:uid="{CC67BC7A-C346-4F44-A276-4037765AE3B4}"/>
    <hyperlink ref="B60" r:id="rId31" xr:uid="{0D4C934A-D7C4-4111-8F0C-D59E353A315B}"/>
    <hyperlink ref="B61" r:id="rId32" xr:uid="{34B788CD-0A7B-4753-9B50-4A3EE812BBD9}"/>
    <hyperlink ref="B62" r:id="rId33" xr:uid="{ED8362E0-BC13-45E2-A761-4D84990C9E8F}"/>
    <hyperlink ref="B63" r:id="rId34" xr:uid="{E5176278-5720-445B-AE58-05F5647541B1}"/>
    <hyperlink ref="B64" r:id="rId35" xr:uid="{FC0F185E-57D9-4323-AFC2-AE2480A9CCBE}"/>
  </hyperlinks>
  <pageMargins left="0.7" right="0.7" top="0.75" bottom="0.75" header="0.3" footer="0.3"/>
  <pageSetup paperSize="9" orientation="portrait" r:id="rId3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B117A-C1FF-4740-AEDC-306C783F299A}">
  <sheetPr>
    <tabColor theme="6" tint="0.79998168889431442"/>
  </sheetPr>
  <dimension ref="A1:L64"/>
  <sheetViews>
    <sheetView topLeftCell="A48" zoomScale="99" workbookViewId="0">
      <selection activeCell="B56" sqref="B56:C64"/>
    </sheetView>
  </sheetViews>
  <sheetFormatPr defaultRowHeight="14.25" x14ac:dyDescent="0.45"/>
  <cols>
    <col min="1" max="1" width="53.86328125" customWidth="1"/>
    <col min="2" max="2" width="11.53125" customWidth="1"/>
    <col min="3" max="3" width="36.19921875" customWidth="1"/>
    <col min="4" max="4" width="50.19921875" bestFit="1" customWidth="1"/>
    <col min="5" max="5" width="62" bestFit="1" customWidth="1"/>
    <col min="12" max="12" width="93.59765625" customWidth="1"/>
  </cols>
  <sheetData>
    <row r="1" spans="1:12" x14ac:dyDescent="0.45">
      <c r="A1" s="16" t="s">
        <v>9</v>
      </c>
      <c r="B1" s="16" t="s">
        <v>10</v>
      </c>
      <c r="C1" s="16" t="s">
        <v>11</v>
      </c>
      <c r="D1" s="16" t="s">
        <v>12</v>
      </c>
      <c r="E1" s="16" t="s">
        <v>13</v>
      </c>
    </row>
    <row r="2" spans="1:12" ht="31.5" x14ac:dyDescent="0.45">
      <c r="A2" s="58" t="s">
        <v>408</v>
      </c>
      <c r="B2" s="6" t="s">
        <v>14</v>
      </c>
      <c r="C2" s="6" t="s">
        <v>29</v>
      </c>
      <c r="D2" s="43" t="s">
        <v>473</v>
      </c>
      <c r="E2" s="43" t="s">
        <v>472</v>
      </c>
    </row>
    <row r="3" spans="1:12" ht="47.25" x14ac:dyDescent="0.45">
      <c r="A3" s="26" t="s">
        <v>437</v>
      </c>
      <c r="B3" s="6" t="s">
        <v>14</v>
      </c>
      <c r="C3" s="6" t="s">
        <v>485</v>
      </c>
      <c r="D3" s="43" t="s">
        <v>428</v>
      </c>
      <c r="E3" s="43" t="str">
        <f>D3&amp;" - Cases of disease prevalence per 100.000 inhabitants, per district, for each of the causes considered as relatable to the project"</f>
        <v>% of people with high blood pressure (prevalence) - Cases of disease prevalence per 100.000 inhabitants, per district, for each of the causes considered as relatable to the project</v>
      </c>
      <c r="L3" s="43"/>
    </row>
    <row r="4" spans="1:12" ht="47.25" x14ac:dyDescent="0.45">
      <c r="A4" s="26" t="s">
        <v>438</v>
      </c>
      <c r="B4" s="6" t="s">
        <v>14</v>
      </c>
      <c r="C4" s="6" t="s">
        <v>485</v>
      </c>
      <c r="D4" s="43" t="s">
        <v>429</v>
      </c>
      <c r="E4" s="43" t="str">
        <f t="shared" ref="E4:E32" si="0">D4&amp;" - Cases of disease prevalence per 100.000 inhabitants, per district, for each of the causes considered as relatable to the project"</f>
        <v>% of people under treatment for hypertension - Cases of disease prevalence per 100.000 inhabitants, per district, for each of the causes considered as relatable to the project</v>
      </c>
      <c r="L4" s="43"/>
    </row>
    <row r="5" spans="1:12" ht="47.25" x14ac:dyDescent="0.45">
      <c r="A5" s="26" t="s">
        <v>439</v>
      </c>
      <c r="B5" s="6" t="s">
        <v>14</v>
      </c>
      <c r="C5" s="6" t="s">
        <v>485</v>
      </c>
      <c r="D5" s="43" t="s">
        <v>430</v>
      </c>
      <c r="E5" s="43" t="str">
        <f t="shared" si="0"/>
        <v>% of people under treatment for high blood pressure - Cases of disease prevalence per 100.000 inhabitants, per district, for each of the causes considered as relatable to the project</v>
      </c>
      <c r="H5" s="3"/>
      <c r="L5" s="43"/>
    </row>
    <row r="6" spans="1:12" ht="47.25" x14ac:dyDescent="0.45">
      <c r="A6" s="26" t="s">
        <v>440</v>
      </c>
      <c r="B6" s="6" t="s">
        <v>14</v>
      </c>
      <c r="C6" s="6" t="s">
        <v>485</v>
      </c>
      <c r="D6" s="48" t="s">
        <v>431</v>
      </c>
      <c r="E6" s="43" t="str">
        <f t="shared" si="0"/>
        <v>% of people affected from obesity - Cases of disease prevalence per 100.000 inhabitants, per district, for each of the causes considered as relatable to the project</v>
      </c>
      <c r="L6" s="43"/>
    </row>
    <row r="7" spans="1:12" ht="47.25" x14ac:dyDescent="0.45">
      <c r="A7" s="32" t="s">
        <v>441</v>
      </c>
      <c r="B7" s="6" t="s">
        <v>14</v>
      </c>
      <c r="C7" s="6" t="s">
        <v>485</v>
      </c>
      <c r="D7" s="43" t="s">
        <v>489</v>
      </c>
      <c r="E7" s="43" t="str">
        <f t="shared" si="0"/>
        <v>% of people with high total cholesterolemia (&gt;=190 mg/dl) - Cases of disease prevalence per 100.000 inhabitants, per district, for each of the causes considered as relatable to the project</v>
      </c>
      <c r="L7" s="43"/>
    </row>
    <row r="8" spans="1:12" ht="47.25" x14ac:dyDescent="0.45">
      <c r="A8" s="33" t="s">
        <v>442</v>
      </c>
      <c r="B8" s="6" t="s">
        <v>14</v>
      </c>
      <c r="C8" s="6" t="s">
        <v>485</v>
      </c>
      <c r="D8" s="43" t="s">
        <v>432</v>
      </c>
      <c r="E8" s="43" t="str">
        <f t="shared" si="0"/>
        <v>% of people under treatment for hypercholesterolemia - Cases of disease prevalence per 100.000 inhabitants, per district, for each of the causes considered as relatable to the project</v>
      </c>
      <c r="L8" s="43"/>
    </row>
    <row r="9" spans="1:12" ht="47.25" x14ac:dyDescent="0.45">
      <c r="A9" s="26" t="s">
        <v>443</v>
      </c>
      <c r="B9" s="6" t="s">
        <v>14</v>
      </c>
      <c r="C9" s="6" t="s">
        <v>485</v>
      </c>
      <c r="D9" s="43" t="s">
        <v>490</v>
      </c>
      <c r="E9" s="43" t="str">
        <f t="shared" si="0"/>
        <v>% of people with high total cholesterolemia (&gt;=240 mg/dl) - Cases of disease prevalence per 100.000 inhabitants, per district, for each of the causes considered as relatable to the project</v>
      </c>
      <c r="L9" s="43"/>
    </row>
    <row r="10" spans="1:12" ht="47.25" x14ac:dyDescent="0.45">
      <c r="A10" s="26" t="s">
        <v>444</v>
      </c>
      <c r="B10" s="6" t="s">
        <v>14</v>
      </c>
      <c r="C10" s="6" t="s">
        <v>485</v>
      </c>
      <c r="D10" s="43" t="s">
        <v>433</v>
      </c>
      <c r="E10" s="43" t="str">
        <f t="shared" si="0"/>
        <v>% of people with high blood sugar/diabetes  - Cases of disease prevalence per 100.000 inhabitants, per district, for each of the causes considered as relatable to the project</v>
      </c>
      <c r="L10" s="43"/>
    </row>
    <row r="11" spans="1:12" ht="47.25" x14ac:dyDescent="0.45">
      <c r="A11" s="26" t="s">
        <v>445</v>
      </c>
      <c r="B11" s="6" t="s">
        <v>14</v>
      </c>
      <c r="C11" s="6" t="s">
        <v>485</v>
      </c>
      <c r="D11" s="43" t="s">
        <v>434</v>
      </c>
      <c r="E11" s="43" t="str">
        <f t="shared" si="0"/>
        <v>% of people under treatment for diabetes - Cases of disease prevalence per 100.000 inhabitants, per district, for each of the causes considered as relatable to the project</v>
      </c>
      <c r="L11" s="43"/>
    </row>
    <row r="12" spans="1:12" ht="47.25" x14ac:dyDescent="0.45">
      <c r="A12" s="26" t="s">
        <v>446</v>
      </c>
      <c r="B12" s="6" t="s">
        <v>14</v>
      </c>
      <c r="C12" s="6" t="s">
        <v>485</v>
      </c>
      <c r="D12" s="43" t="s">
        <v>435</v>
      </c>
      <c r="E12" s="43" t="str">
        <f t="shared" si="0"/>
        <v>% of people not engaging in physical activity - Cases of disease prevalence per 100.000 inhabitants, per district, for each of the causes considered as relatable to the project</v>
      </c>
      <c r="L12" s="43"/>
    </row>
    <row r="13" spans="1:12" ht="47.25" x14ac:dyDescent="0.45">
      <c r="A13" s="26" t="s">
        <v>447</v>
      </c>
      <c r="B13" s="6" t="s">
        <v>14</v>
      </c>
      <c r="C13" s="6" t="s">
        <v>485</v>
      </c>
      <c r="D13" s="43" t="s">
        <v>436</v>
      </c>
      <c r="E13" s="43" t="str">
        <f t="shared" si="0"/>
        <v>% of people affected from CVD - Cases of disease prevalence per 100.000 inhabitants, per district, for each of the causes considered as relatable to the project</v>
      </c>
      <c r="L13" s="43"/>
    </row>
    <row r="14" spans="1:12" ht="47.25" x14ac:dyDescent="0.45">
      <c r="A14" s="26" t="s">
        <v>448</v>
      </c>
      <c r="B14" s="6" t="s">
        <v>14</v>
      </c>
      <c r="C14" s="6" t="s">
        <v>485</v>
      </c>
      <c r="D14" s="44" t="s">
        <v>427</v>
      </c>
      <c r="E14" s="43" t="str">
        <f t="shared" si="0"/>
        <v>% of people with Cases of Gastrointestinal diseases - Cases of disease prevalence per 100.000 inhabitants, per district, for each of the causes considered as relatable to the project</v>
      </c>
    </row>
    <row r="15" spans="1:12" ht="47.25" x14ac:dyDescent="0.45">
      <c r="A15" s="26" t="s">
        <v>449</v>
      </c>
      <c r="B15" s="6" t="s">
        <v>14</v>
      </c>
      <c r="C15" s="6" t="s">
        <v>485</v>
      </c>
      <c r="D15" s="45" t="s">
        <v>409</v>
      </c>
      <c r="E15" s="43" t="str">
        <f t="shared" si="0"/>
        <v>% of people with long-term disease - Cases of disease prevalence per 100.000 inhabitants, per district, for each of the causes considered as relatable to the project</v>
      </c>
    </row>
    <row r="16" spans="1:12" ht="47.25" x14ac:dyDescent="0.45">
      <c r="A16" s="26" t="s">
        <v>450</v>
      </c>
      <c r="B16" s="6" t="s">
        <v>14</v>
      </c>
      <c r="C16" s="6" t="s">
        <v>485</v>
      </c>
      <c r="D16" s="45" t="s">
        <v>410</v>
      </c>
      <c r="E16" s="43" t="str">
        <f t="shared" si="0"/>
        <v>% of people without  long-term disease - Cases of disease prevalence per 100.000 inhabitants, per district, for each of the causes considered as relatable to the project</v>
      </c>
    </row>
    <row r="17" spans="1:5" ht="47.25" x14ac:dyDescent="0.45">
      <c r="A17" s="26" t="s">
        <v>451</v>
      </c>
      <c r="B17" s="6" t="s">
        <v>14</v>
      </c>
      <c r="C17" s="6" t="s">
        <v>485</v>
      </c>
      <c r="D17" s="47" t="s">
        <v>411</v>
      </c>
      <c r="E17" s="43" t="str">
        <f t="shared" si="0"/>
        <v>% of people with BMI &lt;18,5 - Cases of disease prevalence per 100.000 inhabitants, per district, for each of the causes considered as relatable to the project</v>
      </c>
    </row>
    <row r="18" spans="1:5" ht="47.25" x14ac:dyDescent="0.45">
      <c r="A18" s="26" t="s">
        <v>452</v>
      </c>
      <c r="B18" s="6" t="s">
        <v>14</v>
      </c>
      <c r="C18" s="6" t="s">
        <v>485</v>
      </c>
      <c r="D18" s="47" t="s">
        <v>412</v>
      </c>
      <c r="E18" s="43" t="str">
        <f t="shared" si="0"/>
        <v>% of people with BMI 18,5-24,9 - Cases of disease prevalence per 100.000 inhabitants, per district, for each of the causes considered as relatable to the project</v>
      </c>
    </row>
    <row r="19" spans="1:5" ht="47.25" x14ac:dyDescent="0.45">
      <c r="A19" s="26" t="s">
        <v>453</v>
      </c>
      <c r="B19" s="6" t="s">
        <v>14</v>
      </c>
      <c r="C19" s="6" t="s">
        <v>485</v>
      </c>
      <c r="D19" s="47" t="s">
        <v>413</v>
      </c>
      <c r="E19" s="43" t="str">
        <f t="shared" si="0"/>
        <v>% of people with BMI 25-29,9 - Cases of disease prevalence per 100.000 inhabitants, per district, for each of the causes considered as relatable to the project</v>
      </c>
    </row>
    <row r="20" spans="1:5" ht="47.25" x14ac:dyDescent="0.45">
      <c r="A20" s="26" t="s">
        <v>454</v>
      </c>
      <c r="B20" s="6" t="s">
        <v>14</v>
      </c>
      <c r="C20" s="6" t="s">
        <v>485</v>
      </c>
      <c r="D20" s="47" t="s">
        <v>414</v>
      </c>
      <c r="E20" s="43" t="str">
        <f t="shared" si="0"/>
        <v>% of people with BMI =&gt;30 - Cases of disease prevalence per 100.000 inhabitants, per district, for each of the causes considered as relatable to the project</v>
      </c>
    </row>
    <row r="21" spans="1:5" ht="47.25" x14ac:dyDescent="0.45">
      <c r="A21" s="49" t="s">
        <v>455</v>
      </c>
      <c r="B21" s="6" t="s">
        <v>14</v>
      </c>
      <c r="C21" s="6" t="s">
        <v>485</v>
      </c>
      <c r="D21" s="45" t="s">
        <v>415</v>
      </c>
      <c r="E21" s="43" t="str">
        <f t="shared" si="0"/>
        <v>% of people that have or have had Diabetes, COPD or Cardiovascular disease - Cases of disease prevalence per 100.000 inhabitants, per district, for each of the causes considered as relatable to the project</v>
      </c>
    </row>
    <row r="22" spans="1:5" ht="47.25" x14ac:dyDescent="0.45">
      <c r="A22" s="49" t="s">
        <v>456</v>
      </c>
      <c r="B22" s="6" t="s">
        <v>14</v>
      </c>
      <c r="C22" s="6" t="s">
        <v>485</v>
      </c>
      <c r="D22" s="45" t="s">
        <v>416</v>
      </c>
      <c r="E22" s="43" t="str">
        <f t="shared" si="0"/>
        <v>% of people that do not have Diabetes, COPD or Cardiovascular disease - Cases of disease prevalence per 100.000 inhabitants, per district, for each of the causes considered as relatable to the project</v>
      </c>
    </row>
    <row r="23" spans="1:5" ht="47.25" x14ac:dyDescent="0.45">
      <c r="A23" s="49" t="s">
        <v>457</v>
      </c>
      <c r="B23" s="6" t="s">
        <v>14</v>
      </c>
      <c r="C23" s="6" t="s">
        <v>485</v>
      </c>
      <c r="D23" s="45" t="s">
        <v>417</v>
      </c>
      <c r="E23" s="43" t="str">
        <f t="shared" si="0"/>
        <v>% of people experience with mental health issues - Cases of disease prevalence per 100.000 inhabitants, per district, for each of the causes considered as relatable to the project</v>
      </c>
    </row>
    <row r="24" spans="1:5" ht="47.25" x14ac:dyDescent="0.45">
      <c r="A24" s="49" t="s">
        <v>458</v>
      </c>
      <c r="B24" s="6" t="s">
        <v>14</v>
      </c>
      <c r="C24" s="6" t="s">
        <v>485</v>
      </c>
      <c r="D24" s="46" t="s">
        <v>418</v>
      </c>
      <c r="E24" s="43" t="str">
        <f t="shared" si="0"/>
        <v>% of people with Borrelia Burgdoferi - Cases of disease prevalence per 100.000 inhabitants, per district, for each of the causes considered as relatable to the project</v>
      </c>
    </row>
    <row r="25" spans="1:5" ht="47.25" x14ac:dyDescent="0.45">
      <c r="A25" s="26" t="s">
        <v>459</v>
      </c>
      <c r="B25" s="6" t="s">
        <v>14</v>
      </c>
      <c r="C25" s="6" t="s">
        <v>485</v>
      </c>
      <c r="D25" s="46" t="s">
        <v>419</v>
      </c>
      <c r="E25" s="43" t="str">
        <f t="shared" si="0"/>
        <v>% of people with Campylobacter - Cases of disease prevalence per 100.000 inhabitants, per district, for each of the causes considered as relatable to the project</v>
      </c>
    </row>
    <row r="26" spans="1:5" ht="47.25" x14ac:dyDescent="0.45">
      <c r="A26" s="26" t="s">
        <v>460</v>
      </c>
      <c r="B26" s="6" t="s">
        <v>14</v>
      </c>
      <c r="C26" s="6" t="s">
        <v>485</v>
      </c>
      <c r="D26" s="46" t="s">
        <v>420</v>
      </c>
      <c r="E26" s="43" t="str">
        <f t="shared" si="0"/>
        <v>% of people with Chlamydia Psittaci - Cases of disease prevalence per 100.000 inhabitants, per district, for each of the causes considered as relatable to the project</v>
      </c>
    </row>
    <row r="27" spans="1:5" ht="47.25" x14ac:dyDescent="0.45">
      <c r="A27" s="26" t="s">
        <v>461</v>
      </c>
      <c r="B27" s="6" t="s">
        <v>14</v>
      </c>
      <c r="C27" s="6" t="s">
        <v>485</v>
      </c>
      <c r="D27" s="46" t="s">
        <v>421</v>
      </c>
      <c r="E27" s="43" t="str">
        <f t="shared" si="0"/>
        <v>% of people with Cryptosporidium - Cases of disease prevalence per 100.000 inhabitants, per district, for each of the causes considered as relatable to the project</v>
      </c>
    </row>
    <row r="28" spans="1:5" ht="47.25" x14ac:dyDescent="0.45">
      <c r="A28" s="26" t="s">
        <v>462</v>
      </c>
      <c r="B28" s="6" t="s">
        <v>14</v>
      </c>
      <c r="C28" s="6" t="s">
        <v>485</v>
      </c>
      <c r="D28" s="46" t="s">
        <v>422</v>
      </c>
      <c r="E28" s="43" t="str">
        <f t="shared" si="0"/>
        <v>% of people with Entamoeba histolytica - Cases of disease prevalence per 100.000 inhabitants, per district, for each of the causes considered as relatable to the project</v>
      </c>
    </row>
    <row r="29" spans="1:5" ht="47.25" x14ac:dyDescent="0.45">
      <c r="A29" s="32" t="s">
        <v>463</v>
      </c>
      <c r="B29" s="6" t="s">
        <v>14</v>
      </c>
      <c r="C29" s="6" t="s">
        <v>485</v>
      </c>
      <c r="D29" s="46" t="s">
        <v>423</v>
      </c>
      <c r="E29" s="43" t="str">
        <f t="shared" si="0"/>
        <v>% of people with Escherichia Coli - Cases of disease prevalence per 100.000 inhabitants, per district, for each of the causes considered as relatable to the project</v>
      </c>
    </row>
    <row r="30" spans="1:5" ht="47.25" x14ac:dyDescent="0.45">
      <c r="A30" s="33" t="s">
        <v>464</v>
      </c>
      <c r="B30" s="6" t="s">
        <v>14</v>
      </c>
      <c r="C30" s="6" t="s">
        <v>485</v>
      </c>
      <c r="D30" s="46" t="s">
        <v>424</v>
      </c>
      <c r="E30" s="43" t="str">
        <f t="shared" si="0"/>
        <v>% of people with Giarda - Cases of disease prevalence per 100.000 inhabitants, per district, for each of the causes considered as relatable to the project</v>
      </c>
    </row>
    <row r="31" spans="1:5" ht="47.25" x14ac:dyDescent="0.45">
      <c r="A31" s="26" t="s">
        <v>465</v>
      </c>
      <c r="B31" s="6" t="s">
        <v>14</v>
      </c>
      <c r="C31" s="6" t="s">
        <v>485</v>
      </c>
      <c r="D31" s="46" t="s">
        <v>425</v>
      </c>
      <c r="E31" s="43" t="str">
        <f t="shared" si="0"/>
        <v>% of people with Salmonella - Cases of disease prevalence per 100.000 inhabitants, per district, for each of the causes considered as relatable to the project</v>
      </c>
    </row>
    <row r="32" spans="1:5" ht="47.25" x14ac:dyDescent="0.45">
      <c r="A32" s="26" t="s">
        <v>466</v>
      </c>
      <c r="B32" s="6" t="s">
        <v>14</v>
      </c>
      <c r="C32" s="6" t="s">
        <v>485</v>
      </c>
      <c r="D32" s="46" t="s">
        <v>426</v>
      </c>
      <c r="E32" s="43" t="str">
        <f t="shared" si="0"/>
        <v>% of people with Yersinia enterocolitica - Cases of disease prevalence per 100.000 inhabitants, per district, for each of the causes considered as relatable to the project</v>
      </c>
    </row>
    <row r="33" spans="1:8" ht="31.5" x14ac:dyDescent="0.45">
      <c r="A33" s="57" t="s">
        <v>493</v>
      </c>
      <c r="B33" s="6" t="s">
        <v>14</v>
      </c>
      <c r="C33" s="6" t="s">
        <v>29</v>
      </c>
      <c r="D33" s="43" t="s">
        <v>538</v>
      </c>
      <c r="E33" s="43" t="s">
        <v>539</v>
      </c>
    </row>
    <row r="34" spans="1:8" ht="15.75" x14ac:dyDescent="0.45">
      <c r="A34" s="56" t="s">
        <v>494</v>
      </c>
      <c r="B34" s="6" t="s">
        <v>14</v>
      </c>
      <c r="C34" s="6" t="s">
        <v>485</v>
      </c>
      <c r="D34" s="51" t="s">
        <v>508</v>
      </c>
      <c r="E34" s="59" t="str">
        <f>D34&amp;" - Cases per 100.000 inhabitants, per district, for each of the causes considered as relatable to the project"</f>
        <v>% of deaths due to TBC - Cases per 100.000 inhabitants, per district, for each of the causes considered as relatable to the project</v>
      </c>
    </row>
    <row r="35" spans="1:8" ht="31.5" x14ac:dyDescent="0.45">
      <c r="A35" s="56" t="s">
        <v>495</v>
      </c>
      <c r="B35" s="6" t="s">
        <v>14</v>
      </c>
      <c r="C35" s="6" t="s">
        <v>485</v>
      </c>
      <c r="D35" s="51" t="s">
        <v>509</v>
      </c>
      <c r="E35" s="59" t="str">
        <f t="shared" ref="E35:E47" si="1">D35&amp;" - Cases per 100.000 inhabitants, per district, for each of the causes considered as relatable to the project"</f>
        <v>% of deaths due to Viral Hepatitis - Cases per 100.000 inhabitants, per district, for each of the causes considered as relatable to the project</v>
      </c>
      <c r="H35" s="53"/>
    </row>
    <row r="36" spans="1:8" ht="31.5" x14ac:dyDescent="0.45">
      <c r="A36" s="56" t="s">
        <v>496</v>
      </c>
      <c r="B36" s="6" t="s">
        <v>14</v>
      </c>
      <c r="C36" s="6" t="s">
        <v>485</v>
      </c>
      <c r="D36" s="51" t="s">
        <v>510</v>
      </c>
      <c r="E36" s="59" t="str">
        <f t="shared" si="1"/>
        <v>% of deaths due to infective and parasitic diseases - Cases per 100.000 inhabitants, per district, for each of the causes considered as relatable to the project</v>
      </c>
    </row>
    <row r="37" spans="1:8" ht="31.5" x14ac:dyDescent="0.45">
      <c r="A37" s="56" t="s">
        <v>497</v>
      </c>
      <c r="B37" s="6" t="s">
        <v>14</v>
      </c>
      <c r="C37" s="6" t="s">
        <v>485</v>
      </c>
      <c r="D37" s="51" t="s">
        <v>511</v>
      </c>
      <c r="E37" s="59" t="str">
        <f t="shared" si="1"/>
        <v>% of deaths due to diseases of the blood and hematopoietic organs - Cases per 100.000 inhabitants, per district, for each of the causes considered as relatable to the project</v>
      </c>
    </row>
    <row r="38" spans="1:8" ht="31.5" x14ac:dyDescent="0.45">
      <c r="A38" s="56" t="s">
        <v>498</v>
      </c>
      <c r="B38" s="6" t="s">
        <v>14</v>
      </c>
      <c r="C38" s="6" t="s">
        <v>485</v>
      </c>
      <c r="D38" s="51" t="s">
        <v>512</v>
      </c>
      <c r="E38" s="59" t="str">
        <f t="shared" si="1"/>
        <v>% of deaths due to Diabetes Mellitus - Cases per 100.000 inhabitants, per district, for each of the causes considered as relatable to the project</v>
      </c>
    </row>
    <row r="39" spans="1:8" ht="31.5" x14ac:dyDescent="0.45">
      <c r="A39" s="56" t="s">
        <v>499</v>
      </c>
      <c r="B39" s="6" t="s">
        <v>14</v>
      </c>
      <c r="C39" s="6" t="s">
        <v>485</v>
      </c>
      <c r="D39" s="51" t="s">
        <v>513</v>
      </c>
      <c r="E39" s="59" t="str">
        <f t="shared" si="1"/>
        <v>% of deaths due to endocrine, nutritional and metabolic diseases - Cases per 100.000 inhabitants, per district, for each of the causes considered as relatable to the project</v>
      </c>
    </row>
    <row r="40" spans="1:8" ht="31.5" x14ac:dyDescent="0.45">
      <c r="A40" s="56" t="s">
        <v>500</v>
      </c>
      <c r="B40" s="6" t="s">
        <v>14</v>
      </c>
      <c r="C40" s="6" t="s">
        <v>485</v>
      </c>
      <c r="D40" s="52" t="s">
        <v>514</v>
      </c>
      <c r="E40" s="59" t="str">
        <f t="shared" si="1"/>
        <v>% of deaths due to ischemic diseases of the heart - Cases per 100.000 inhabitants, per district, for each of the causes considered as relatable to the project</v>
      </c>
    </row>
    <row r="41" spans="1:8" ht="31.5" x14ac:dyDescent="0.45">
      <c r="A41" s="56" t="s">
        <v>501</v>
      </c>
      <c r="B41" s="6" t="s">
        <v>14</v>
      </c>
      <c r="C41" s="6" t="s">
        <v>485</v>
      </c>
      <c r="D41" s="52" t="s">
        <v>515</v>
      </c>
      <c r="E41" s="59" t="str">
        <f t="shared" si="1"/>
        <v>% of deaths due to other diseases of the heart - Cases per 100.000 inhabitants, per district, for each of the causes considered as relatable to the project</v>
      </c>
    </row>
    <row r="42" spans="1:8" ht="31.5" x14ac:dyDescent="0.45">
      <c r="A42" s="56" t="s">
        <v>502</v>
      </c>
      <c r="B42" s="6" t="s">
        <v>14</v>
      </c>
      <c r="C42" s="6" t="s">
        <v>485</v>
      </c>
      <c r="D42" s="52" t="s">
        <v>516</v>
      </c>
      <c r="E42" s="59" t="str">
        <f t="shared" si="1"/>
        <v>% of deaths due to other diseases of the circulatory system  - Cases per 100.000 inhabitants, per district, for each of the causes considered as relatable to the project</v>
      </c>
    </row>
    <row r="43" spans="1:8" ht="31.5" x14ac:dyDescent="0.45">
      <c r="A43" s="56" t="s">
        <v>503</v>
      </c>
      <c r="B43" s="6" t="s">
        <v>14</v>
      </c>
      <c r="C43" s="6" t="s">
        <v>485</v>
      </c>
      <c r="D43" s="51" t="s">
        <v>517</v>
      </c>
      <c r="E43" s="59" t="str">
        <f t="shared" si="1"/>
        <v>% of deaths due to Pneumonia - Cases per 100.000 inhabitants, per district, for each of the causes considered as relatable to the project</v>
      </c>
    </row>
    <row r="44" spans="1:8" ht="31.5" x14ac:dyDescent="0.45">
      <c r="A44" s="56" t="s">
        <v>504</v>
      </c>
      <c r="B44" s="6" t="s">
        <v>14</v>
      </c>
      <c r="C44" s="6" t="s">
        <v>485</v>
      </c>
      <c r="D44" s="52" t="s">
        <v>518</v>
      </c>
      <c r="E44" s="59" t="str">
        <f t="shared" si="1"/>
        <v>% of deaths due to chronic diseases of the lower respiratory tract - Cases per 100.000 inhabitants, per district, for each of the causes considered as relatable to the project</v>
      </c>
    </row>
    <row r="45" spans="1:8" ht="31.5" x14ac:dyDescent="0.45">
      <c r="A45" s="56" t="s">
        <v>505</v>
      </c>
      <c r="B45" s="6" t="s">
        <v>14</v>
      </c>
      <c r="C45" s="6" t="s">
        <v>485</v>
      </c>
      <c r="D45" s="52" t="s">
        <v>519</v>
      </c>
      <c r="E45" s="59" t="str">
        <f t="shared" si="1"/>
        <v>% of deaths due to other diseases of the respiratory system - Cases per 100.000 inhabitants, per district, for each of the causes considered as relatable to the project</v>
      </c>
    </row>
    <row r="46" spans="1:8" ht="31.5" x14ac:dyDescent="0.45">
      <c r="A46" s="56" t="s">
        <v>506</v>
      </c>
      <c r="B46" s="6" t="s">
        <v>14</v>
      </c>
      <c r="C46" s="6" t="s">
        <v>485</v>
      </c>
      <c r="D46" s="52" t="s">
        <v>520</v>
      </c>
      <c r="E46" s="59" t="str">
        <f t="shared" si="1"/>
        <v>% of deaths due to diseases of the skin and subcutaneous tissue - Cases per 100.000 inhabitants, per district, for each of the causes considered as relatable to the project</v>
      </c>
    </row>
    <row r="47" spans="1:8" ht="31.5" x14ac:dyDescent="0.45">
      <c r="A47" s="56" t="s">
        <v>507</v>
      </c>
      <c r="B47" s="6" t="s">
        <v>14</v>
      </c>
      <c r="C47" s="6" t="s">
        <v>485</v>
      </c>
      <c r="D47" s="51" t="s">
        <v>521</v>
      </c>
      <c r="E47" s="59" t="str">
        <f t="shared" si="1"/>
        <v>% of deaths due to accidental poisoning - Cases per 100.000 inhabitants, per district, for each of the causes considered as relatable to the project</v>
      </c>
    </row>
    <row r="48" spans="1:8" ht="47.25" x14ac:dyDescent="0.45">
      <c r="A48" s="56" t="s">
        <v>531</v>
      </c>
      <c r="B48" s="6" t="s">
        <v>14</v>
      </c>
      <c r="C48" s="6" t="s">
        <v>485</v>
      </c>
      <c r="D48" t="s">
        <v>528</v>
      </c>
      <c r="E48" s="59" t="str">
        <f>D48&amp;" - Cases per 100.000 inhabitants, per parish for each of the causes considered as relatable to the project"</f>
        <v>% of deaths due to Malignant Tumors - Cases per 100.000 inhabitants, per parish for each of the causes considered as relatable to the project</v>
      </c>
    </row>
    <row r="49" spans="1:6" ht="47.25" x14ac:dyDescent="0.45">
      <c r="A49" s="56" t="s">
        <v>532</v>
      </c>
      <c r="B49" s="6" t="s">
        <v>14</v>
      </c>
      <c r="C49" s="6" t="s">
        <v>485</v>
      </c>
      <c r="D49" t="s">
        <v>529</v>
      </c>
      <c r="E49" s="59" t="str">
        <f t="shared" ref="E49:E50" si="2">D49&amp;" - Cases per 100.000 inhabitants, per parish for each of the causes considered as relatable to the project"</f>
        <v>% of deaths due to Healthcare-Sensitive Causes  - Cases per 100.000 inhabitants, per parish for each of the causes considered as relatable to the project</v>
      </c>
    </row>
    <row r="50" spans="1:6" ht="31.5" x14ac:dyDescent="0.45">
      <c r="A50" s="56" t="s">
        <v>533</v>
      </c>
      <c r="B50" s="6" t="s">
        <v>14</v>
      </c>
      <c r="C50" s="6" t="s">
        <v>485</v>
      </c>
      <c r="D50" t="s">
        <v>530</v>
      </c>
      <c r="E50" s="59" t="str">
        <f t="shared" si="2"/>
        <v>% of Excess Mortality in Winter - Cases per 100.000 inhabitants, per parish for each of the causes considered as relatable to the project</v>
      </c>
    </row>
    <row r="51" spans="1:6" ht="31.5" x14ac:dyDescent="0.45">
      <c r="A51" s="56" t="s">
        <v>534</v>
      </c>
      <c r="B51" s="6" t="s">
        <v>14</v>
      </c>
      <c r="C51" s="6" t="s">
        <v>485</v>
      </c>
      <c r="D51" s="55" t="s">
        <v>526</v>
      </c>
      <c r="E51" s="59" t="str">
        <f>D51&amp;" - Cases per 100.000 inhabitants, per borough for each of the causes considered as relatable to the project"</f>
        <v>% of deaths due to all causes - Cases per 100.000 inhabitants, per borough for each of the causes considered as relatable to the project</v>
      </c>
    </row>
    <row r="52" spans="1:6" ht="31.5" x14ac:dyDescent="0.45">
      <c r="A52" s="56" t="s">
        <v>535</v>
      </c>
      <c r="B52" s="6" t="s">
        <v>14</v>
      </c>
      <c r="C52" s="6" t="s">
        <v>485</v>
      </c>
      <c r="D52" s="55" t="s">
        <v>522</v>
      </c>
      <c r="E52" s="59" t="str">
        <f t="shared" ref="E52:E56" si="3">D52&amp;" - Cases per 100.000 inhabitants, per borough for each of the causes considered as relatable to the project"</f>
        <v>% of deaths due to cancer - Cases per 100.000 inhabitants, per borough for each of the causes considered as relatable to the project</v>
      </c>
    </row>
    <row r="53" spans="1:6" ht="31.5" x14ac:dyDescent="0.45">
      <c r="A53" s="56" t="s">
        <v>536</v>
      </c>
      <c r="B53" s="6" t="s">
        <v>14</v>
      </c>
      <c r="C53" s="6" t="s">
        <v>485</v>
      </c>
      <c r="D53" s="55" t="s">
        <v>527</v>
      </c>
      <c r="E53" s="59" t="str">
        <f t="shared" si="3"/>
        <v>% of deaths due to diabetes - Cases per 100.000 inhabitants, per borough for each of the causes considered as relatable to the project</v>
      </c>
    </row>
    <row r="54" spans="1:6" ht="47.25" x14ac:dyDescent="0.45">
      <c r="A54" s="56" t="s">
        <v>555</v>
      </c>
      <c r="B54" s="6" t="s">
        <v>14</v>
      </c>
      <c r="C54" s="6" t="s">
        <v>485</v>
      </c>
      <c r="D54" s="55" t="s">
        <v>523</v>
      </c>
      <c r="E54" s="59" t="str">
        <f t="shared" si="3"/>
        <v>% of deaths due to cardiovascular disease - Cases per 100.000 inhabitants, per borough for each of the causes considered as relatable to the project</v>
      </c>
      <c r="F54" s="54"/>
    </row>
    <row r="55" spans="1:6" ht="47.25" x14ac:dyDescent="0.45">
      <c r="A55" s="56" t="s">
        <v>556</v>
      </c>
      <c r="B55" s="6" t="s">
        <v>14</v>
      </c>
      <c r="C55" s="6" t="s">
        <v>485</v>
      </c>
      <c r="D55" s="55" t="s">
        <v>524</v>
      </c>
      <c r="E55" s="59" t="str">
        <f t="shared" si="3"/>
        <v>% of deaths due to respiratory disease - Cases per 100.000 inhabitants, per borough for each of the causes considered as relatable to the project</v>
      </c>
    </row>
    <row r="56" spans="1:6" ht="47.25" x14ac:dyDescent="0.45">
      <c r="A56" s="56" t="s">
        <v>537</v>
      </c>
      <c r="B56" s="6" t="s">
        <v>14</v>
      </c>
      <c r="C56" s="6" t="s">
        <v>485</v>
      </c>
      <c r="D56" s="55" t="s">
        <v>525</v>
      </c>
      <c r="E56" s="59" t="str">
        <f t="shared" si="3"/>
        <v>% of deaths due to COPD and lung cancer - Cases per 100.000 inhabitants, per borough for each of the causes considered as relatable to the project</v>
      </c>
    </row>
    <row r="57" spans="1:6" x14ac:dyDescent="0.45">
      <c r="A57" s="60" t="s">
        <v>554</v>
      </c>
      <c r="B57" s="6" t="s">
        <v>14</v>
      </c>
      <c r="C57" s="6" t="s">
        <v>485</v>
      </c>
    </row>
    <row r="58" spans="1:6" x14ac:dyDescent="0.45">
      <c r="A58" s="61" t="s">
        <v>557</v>
      </c>
      <c r="B58" s="6" t="s">
        <v>14</v>
      </c>
      <c r="C58" s="6" t="s">
        <v>485</v>
      </c>
      <c r="D58" t="s">
        <v>540</v>
      </c>
      <c r="E58" t="s">
        <v>541</v>
      </c>
    </row>
    <row r="59" spans="1:6" ht="42.75" x14ac:dyDescent="0.45">
      <c r="A59" s="61" t="s">
        <v>558</v>
      </c>
      <c r="B59" s="6" t="s">
        <v>14</v>
      </c>
      <c r="C59" s="6" t="s">
        <v>485</v>
      </c>
      <c r="D59" s="5" t="s">
        <v>542</v>
      </c>
      <c r="E59" s="5" t="s">
        <v>543</v>
      </c>
    </row>
    <row r="60" spans="1:6" ht="15.75" x14ac:dyDescent="0.45">
      <c r="A60" s="62" t="s">
        <v>561</v>
      </c>
      <c r="B60" s="6" t="s">
        <v>14</v>
      </c>
      <c r="C60" s="6" t="s">
        <v>485</v>
      </c>
      <c r="D60" t="s">
        <v>544</v>
      </c>
      <c r="E60" t="s">
        <v>545</v>
      </c>
      <c r="F60" s="53"/>
    </row>
    <row r="61" spans="1:6" x14ac:dyDescent="0.45">
      <c r="A61" s="61" t="s">
        <v>559</v>
      </c>
      <c r="B61" s="6" t="s">
        <v>14</v>
      </c>
      <c r="C61" s="6" t="s">
        <v>485</v>
      </c>
      <c r="D61" t="s">
        <v>546</v>
      </c>
      <c r="E61" t="s">
        <v>547</v>
      </c>
    </row>
    <row r="62" spans="1:6" x14ac:dyDescent="0.45">
      <c r="A62" s="61" t="s">
        <v>560</v>
      </c>
      <c r="B62" s="6" t="s">
        <v>14</v>
      </c>
      <c r="C62" s="6" t="s">
        <v>485</v>
      </c>
      <c r="D62" t="s">
        <v>548</v>
      </c>
      <c r="E62" t="s">
        <v>549</v>
      </c>
    </row>
    <row r="63" spans="1:6" x14ac:dyDescent="0.45">
      <c r="A63" s="61" t="s">
        <v>562</v>
      </c>
      <c r="B63" s="6" t="s">
        <v>14</v>
      </c>
      <c r="C63" s="6" t="s">
        <v>485</v>
      </c>
      <c r="D63" t="s">
        <v>550</v>
      </c>
      <c r="E63" t="s">
        <v>551</v>
      </c>
    </row>
    <row r="64" spans="1:6" ht="42.75" x14ac:dyDescent="0.45">
      <c r="A64" s="61" t="s">
        <v>563</v>
      </c>
      <c r="B64" s="6" t="s">
        <v>14</v>
      </c>
      <c r="C64" s="6" t="s">
        <v>485</v>
      </c>
      <c r="D64" s="5" t="s">
        <v>552</v>
      </c>
      <c r="E64" s="5" t="s">
        <v>553</v>
      </c>
    </row>
  </sheetData>
  <phoneticPr fontId="7"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DA2C3-843D-4662-B2C7-78EB4A1DCF4E}">
  <sheetPr>
    <tabColor theme="7" tint="0.59999389629810485"/>
  </sheetPr>
  <dimension ref="A1:H63"/>
  <sheetViews>
    <sheetView topLeftCell="B1" zoomScale="80" zoomScaleNormal="80" workbookViewId="0">
      <selection activeCell="A49" sqref="A49:XFD49"/>
    </sheetView>
  </sheetViews>
  <sheetFormatPr defaultRowHeight="14.25" x14ac:dyDescent="0.45"/>
  <cols>
    <col min="1" max="1" width="58.06640625" bestFit="1" customWidth="1"/>
    <col min="2" max="2" width="71.86328125" customWidth="1"/>
    <col min="3" max="3" width="76.796875" style="5" customWidth="1"/>
    <col min="4" max="4" width="44.53125" style="5" customWidth="1"/>
    <col min="5" max="5" width="36.19921875" customWidth="1"/>
    <col min="6" max="6" width="22" customWidth="1"/>
    <col min="7" max="7" width="11.06640625" customWidth="1"/>
    <col min="8" max="8" width="37.53125" style="5" customWidth="1"/>
  </cols>
  <sheetData>
    <row r="1" spans="1:8" s="14" customFormat="1" x14ac:dyDescent="0.45">
      <c r="A1" s="13" t="s">
        <v>0</v>
      </c>
      <c r="B1" s="13" t="s">
        <v>1</v>
      </c>
      <c r="C1" s="15" t="s">
        <v>2</v>
      </c>
      <c r="D1" s="15" t="s">
        <v>3</v>
      </c>
      <c r="E1" s="13" t="s">
        <v>4</v>
      </c>
      <c r="F1" s="13" t="s">
        <v>5</v>
      </c>
      <c r="G1" s="13" t="s">
        <v>6</v>
      </c>
      <c r="H1" s="15" t="s">
        <v>8</v>
      </c>
    </row>
    <row r="2" spans="1:8" x14ac:dyDescent="0.45">
      <c r="A2" s="7" t="str">
        <f>"http://hl7.eu/fhir/ig/oah/StructureDefinition/"&amp;LogicalModels!$A$2</f>
        <v>http://hl7.eu/fhir/ig/oah/StructureDefinition/IndicatorsOah</v>
      </c>
      <c r="B2" s="7" t="s">
        <v>103</v>
      </c>
      <c r="C2" s="8" t="str">
        <f>IndicatorsOah!A2</f>
        <v>biological</v>
      </c>
      <c r="D2" s="8" t="str">
        <f>IndicatorsOah!D2</f>
        <v>Key biological quality indicators</v>
      </c>
      <c r="E2" s="8" t="s">
        <v>27</v>
      </c>
      <c r="F2" s="6"/>
      <c r="G2" s="6" t="s">
        <v>7</v>
      </c>
      <c r="H2" s="8"/>
    </row>
    <row r="3" spans="1:8" ht="28.5" x14ac:dyDescent="0.45">
      <c r="A3" s="7" t="str">
        <f>"http://hl7.eu/fhir/ig/oah/StructureDefinition/"&amp;LogicalModels!$A$2</f>
        <v>http://hl7.eu/fhir/ig/oah/StructureDefinition/IndicatorsOah</v>
      </c>
      <c r="B3" s="7" t="s">
        <v>103</v>
      </c>
      <c r="C3" s="8" t="str">
        <f>IndicatorsOah!A3</f>
        <v>biological.macroinvertebreates</v>
      </c>
      <c r="D3" s="8" t="str">
        <f>IndicatorsOah!D3</f>
        <v>Benthic Macroinvertebrates</v>
      </c>
      <c r="E3" s="8" t="s">
        <v>27</v>
      </c>
      <c r="F3" s="6" t="str">
        <f>""</f>
        <v/>
      </c>
      <c r="G3" s="6" t="s">
        <v>7</v>
      </c>
      <c r="H3" s="8" t="s">
        <v>167</v>
      </c>
    </row>
    <row r="4" spans="1:8" x14ac:dyDescent="0.45">
      <c r="A4" s="7" t="str">
        <f>"http://hl7.eu/fhir/ig/oah/StructureDefinition/"&amp;LogicalModels!$A$2</f>
        <v>http://hl7.eu/fhir/ig/oah/StructureDefinition/IndicatorsOah</v>
      </c>
      <c r="B4" s="7" t="s">
        <v>103</v>
      </c>
      <c r="C4" s="8" t="str">
        <f>IndicatorsOah!A4</f>
        <v>biological.diatomes</v>
      </c>
      <c r="D4" s="8" t="str">
        <f>IndicatorsOah!D4</f>
        <v>Diatoms (microalgae/phytobenthos)</v>
      </c>
      <c r="E4" s="8" t="s">
        <v>27</v>
      </c>
      <c r="F4" s="6"/>
      <c r="G4" s="6" t="s">
        <v>7</v>
      </c>
      <c r="H4" s="8" t="s">
        <v>168</v>
      </c>
    </row>
    <row r="5" spans="1:8" x14ac:dyDescent="0.45">
      <c r="A5" s="7" t="str">
        <f>"http://hl7.eu/fhir/ig/oah/StructureDefinition/"&amp;LogicalModels!$A$2</f>
        <v>http://hl7.eu/fhir/ig/oah/StructureDefinition/IndicatorsOah</v>
      </c>
      <c r="B5" s="7" t="s">
        <v>103</v>
      </c>
      <c r="C5" s="8" t="str">
        <f>IndicatorsOah!A5</f>
        <v>biological.fishes</v>
      </c>
      <c r="D5" s="8" t="str">
        <f>IndicatorsOah!D5</f>
        <v>Fish</v>
      </c>
      <c r="E5" s="8" t="s">
        <v>27</v>
      </c>
      <c r="F5" s="6"/>
      <c r="G5" s="6" t="s">
        <v>7</v>
      </c>
      <c r="H5" s="8" t="s">
        <v>169</v>
      </c>
    </row>
    <row r="6" spans="1:8" ht="42.75" x14ac:dyDescent="0.45">
      <c r="A6" s="7" t="str">
        <f>"http://hl7.eu/fhir/ig/oah/StructureDefinition/"&amp;LogicalModels!$A$2</f>
        <v>http://hl7.eu/fhir/ig/oah/StructureDefinition/IndicatorsOah</v>
      </c>
      <c r="B6" s="7" t="s">
        <v>166</v>
      </c>
      <c r="C6" s="8" t="str">
        <f>IndicatorsOah!A6</f>
        <v>biological.macrophytes</v>
      </c>
      <c r="D6" s="8" t="str">
        <f>IndicatorsOah!D6</f>
        <v>Macrophytes (aquatic plants)</v>
      </c>
      <c r="E6" s="8" t="s">
        <v>27</v>
      </c>
      <c r="F6" s="6"/>
      <c r="G6" s="6" t="s">
        <v>7</v>
      </c>
      <c r="H6" s="8" t="s">
        <v>192</v>
      </c>
    </row>
    <row r="7" spans="1:8" ht="42.75" x14ac:dyDescent="0.45">
      <c r="A7" s="7" t="str">
        <f>"http://hl7.eu/fhir/ig/oah/StructureDefinition/"&amp;LogicalModels!$A$2</f>
        <v>http://hl7.eu/fhir/ig/oah/StructureDefinition/IndicatorsOah</v>
      </c>
      <c r="B7" s="7" t="s">
        <v>166</v>
      </c>
      <c r="C7" s="8" t="str">
        <f>IndicatorsOah!A7</f>
        <v>biological.riparianVegetation</v>
      </c>
      <c r="D7" s="8" t="str">
        <f>IndicatorsOah!D7</f>
        <v>Riparian vegetation</v>
      </c>
      <c r="E7" s="8" t="s">
        <v>27</v>
      </c>
      <c r="F7" s="6"/>
      <c r="G7" s="6" t="s">
        <v>7</v>
      </c>
      <c r="H7" s="8" t="s">
        <v>193</v>
      </c>
    </row>
    <row r="8" spans="1:8" x14ac:dyDescent="0.45">
      <c r="A8" s="7" t="str">
        <f>"http://hl7.eu/fhir/ig/oah/StructureDefinition/"&amp;LogicalModels!$A$2</f>
        <v>http://hl7.eu/fhir/ig/oah/StructureDefinition/IndicatorsOah</v>
      </c>
      <c r="B8" s="7" t="s">
        <v>103</v>
      </c>
      <c r="C8" s="8" t="str">
        <f>IndicatorsOah!A8</f>
        <v>biological.microbiomes</v>
      </c>
      <c r="D8" s="8" t="str">
        <f>IndicatorsOah!D8</f>
        <v>Microbiomes/Biofilms</v>
      </c>
      <c r="E8" s="8" t="s">
        <v>27</v>
      </c>
      <c r="F8" s="6"/>
      <c r="G8" s="6" t="s">
        <v>7</v>
      </c>
      <c r="H8" s="8" t="s">
        <v>170</v>
      </c>
    </row>
    <row r="9" spans="1:8" x14ac:dyDescent="0.45">
      <c r="A9" s="7" t="str">
        <f>"http://hl7.eu/fhir/ig/oah/StructureDefinition/"&amp;LogicalModels!$A$2</f>
        <v>http://hl7.eu/fhir/ig/oah/StructureDefinition/IndicatorsOah</v>
      </c>
      <c r="B9" s="7" t="s">
        <v>103</v>
      </c>
      <c r="C9" s="8" t="str">
        <f>IndicatorsOah!A9</f>
        <v>hydromorphological</v>
      </c>
      <c r="D9" s="8" t="str">
        <f>IndicatorsOah!D9</f>
        <v>Key hydromorphological quality indicators</v>
      </c>
      <c r="E9" s="8" t="s">
        <v>27</v>
      </c>
      <c r="F9" s="6"/>
      <c r="G9" s="6" t="s">
        <v>7</v>
      </c>
      <c r="H9" s="8"/>
    </row>
    <row r="10" spans="1:8" x14ac:dyDescent="0.45">
      <c r="A10" s="7" t="str">
        <f>"http://hl7.eu/fhir/ig/oah/StructureDefinition/"&amp;LogicalModels!$A$2</f>
        <v>http://hl7.eu/fhir/ig/oah/StructureDefinition/IndicatorsOah</v>
      </c>
      <c r="B10" s="7" t="s">
        <v>103</v>
      </c>
      <c r="C10" s="8" t="str">
        <f>IndicatorsOah!A10</f>
        <v>hydromorphological.morphology</v>
      </c>
      <c r="D10" s="8" t="str">
        <f>IndicatorsOah!D10</f>
        <v>Morphology of the streams</v>
      </c>
      <c r="E10" s="8" t="s">
        <v>27</v>
      </c>
      <c r="F10" s="6"/>
      <c r="G10" s="6" t="s">
        <v>7</v>
      </c>
      <c r="H10" s="8" t="s">
        <v>171</v>
      </c>
    </row>
    <row r="11" spans="1:8" x14ac:dyDescent="0.45">
      <c r="A11" s="7" t="str">
        <f>"http://hl7.eu/fhir/ig/oah/StructureDefinition/"&amp;LogicalModels!$A$2</f>
        <v>http://hl7.eu/fhir/ig/oah/StructureDefinition/IndicatorsOah</v>
      </c>
      <c r="B11" s="7" t="s">
        <v>103</v>
      </c>
      <c r="C11" s="8" t="str">
        <f>IndicatorsOah!A11</f>
        <v>hydromorphological.hydrology</v>
      </c>
      <c r="D11" s="8" t="str">
        <f>IndicatorsOah!D11</f>
        <v>Hydrology of the stream</v>
      </c>
      <c r="E11" s="8" t="s">
        <v>27</v>
      </c>
      <c r="F11" s="6"/>
      <c r="G11" s="6" t="s">
        <v>7</v>
      </c>
      <c r="H11" s="8" t="s">
        <v>172</v>
      </c>
    </row>
    <row r="12" spans="1:8" x14ac:dyDescent="0.45">
      <c r="A12" s="7" t="str">
        <f>"http://hl7.eu/fhir/ig/oah/StructureDefinition/"&amp;LogicalModels!$A$2</f>
        <v>http://hl7.eu/fhir/ig/oah/StructureDefinition/IndicatorsOah</v>
      </c>
      <c r="B12" s="7" t="s">
        <v>103</v>
      </c>
      <c r="C12" s="8" t="str">
        <f>IndicatorsOah!A12</f>
        <v>hydromorphological.landUse</v>
      </c>
      <c r="D12" s="8" t="str">
        <f>IndicatorsOah!D12</f>
        <v>Land use in the margins</v>
      </c>
      <c r="E12" s="8" t="s">
        <v>27</v>
      </c>
      <c r="F12" s="6"/>
      <c r="G12" s="6" t="s">
        <v>7</v>
      </c>
      <c r="H12" s="8" t="s">
        <v>173</v>
      </c>
    </row>
    <row r="13" spans="1:8" x14ac:dyDescent="0.45">
      <c r="A13" s="7" t="str">
        <f>"http://hl7.eu/fhir/ig/oah/StructureDefinition/"&amp;LogicalModels!$A$2</f>
        <v>http://hl7.eu/fhir/ig/oah/StructureDefinition/IndicatorsOah</v>
      </c>
      <c r="B13" s="7" t="s">
        <v>103</v>
      </c>
      <c r="C13" s="8" t="str">
        <f>IndicatorsOah!A13</f>
        <v>water</v>
      </c>
      <c r="D13" s="8" t="str">
        <f>IndicatorsOah!D13</f>
        <v>Key water quality indicators</v>
      </c>
      <c r="E13" s="8" t="s">
        <v>27</v>
      </c>
      <c r="F13" s="6"/>
      <c r="G13" s="6" t="s">
        <v>7</v>
      </c>
      <c r="H13" s="8"/>
    </row>
    <row r="14" spans="1:8" x14ac:dyDescent="0.45">
      <c r="A14" s="7" t="str">
        <f>"http://hl7.eu/fhir/ig/oah/StructureDefinition/"&amp;LogicalModels!$A$2</f>
        <v>http://hl7.eu/fhir/ig/oah/StructureDefinition/IndicatorsOah</v>
      </c>
      <c r="B14" s="7" t="s">
        <v>103</v>
      </c>
      <c r="C14" s="8" t="str">
        <f>IndicatorsOah!A14</f>
        <v>water.nutrients</v>
      </c>
      <c r="D14" s="8" t="str">
        <f>IndicatorsOah!D14</f>
        <v>Nutrients</v>
      </c>
      <c r="E14" s="8" t="s">
        <v>27</v>
      </c>
      <c r="F14" s="6"/>
      <c r="G14" s="6" t="s">
        <v>7</v>
      </c>
      <c r="H14" s="8" t="s">
        <v>174</v>
      </c>
    </row>
    <row r="15" spans="1:8" x14ac:dyDescent="0.45">
      <c r="A15" s="7" t="str">
        <f>"http://hl7.eu/fhir/ig/oah/StructureDefinition/"&amp;LogicalModels!$A$2</f>
        <v>http://hl7.eu/fhir/ig/oah/StructureDefinition/IndicatorsOah</v>
      </c>
      <c r="B15" s="7" t="s">
        <v>103</v>
      </c>
      <c r="C15" s="8" t="str">
        <f>IndicatorsOah!A15</f>
        <v>water.pH</v>
      </c>
      <c r="D15" s="8" t="str">
        <f>IndicatorsOah!D15</f>
        <v>pH</v>
      </c>
      <c r="E15" s="8" t="s">
        <v>27</v>
      </c>
      <c r="F15" s="6"/>
      <c r="G15" s="6" t="s">
        <v>7</v>
      </c>
      <c r="H15" s="8" t="s">
        <v>175</v>
      </c>
    </row>
    <row r="16" spans="1:8" x14ac:dyDescent="0.45">
      <c r="A16" s="7" t="str">
        <f>"http://hl7.eu/fhir/ig/oah/StructureDefinition/"&amp;LogicalModels!$A$2</f>
        <v>http://hl7.eu/fhir/ig/oah/StructureDefinition/IndicatorsOah</v>
      </c>
      <c r="B16" s="7" t="s">
        <v>103</v>
      </c>
      <c r="C16" s="8" t="str">
        <f>IndicatorsOah!A16</f>
        <v>water.dissolvedO2</v>
      </c>
      <c r="D16" s="8" t="str">
        <f>IndicatorsOah!D16</f>
        <v>Dissolved O2</v>
      </c>
      <c r="E16" s="8" t="s">
        <v>27</v>
      </c>
      <c r="F16" s="6"/>
      <c r="G16" s="6" t="s">
        <v>7</v>
      </c>
      <c r="H16" s="8" t="s">
        <v>176</v>
      </c>
    </row>
    <row r="17" spans="1:8" ht="28.5" x14ac:dyDescent="0.45">
      <c r="A17" s="7" t="str">
        <f>"http://hl7.eu/fhir/ig/oah/StructureDefinition/"&amp;LogicalModels!$A$2</f>
        <v>http://hl7.eu/fhir/ig/oah/StructureDefinition/IndicatorsOah</v>
      </c>
      <c r="B17" s="7" t="s">
        <v>103</v>
      </c>
      <c r="C17" s="8" t="str">
        <f>IndicatorsOah!A17</f>
        <v>water.waterTemperature</v>
      </c>
      <c r="D17" s="8" t="str">
        <f>IndicatorsOah!D17</f>
        <v>Water temperature</v>
      </c>
      <c r="E17" s="8" t="s">
        <v>27</v>
      </c>
      <c r="F17" s="6"/>
      <c r="G17" s="6" t="s">
        <v>7</v>
      </c>
      <c r="H17" s="8" t="s">
        <v>177</v>
      </c>
    </row>
    <row r="18" spans="1:8" x14ac:dyDescent="0.45">
      <c r="A18" s="7" t="str">
        <f>"http://hl7.eu/fhir/ig/oah/StructureDefinition/"&amp;LogicalModels!$A$2</f>
        <v>http://hl7.eu/fhir/ig/oah/StructureDefinition/IndicatorsOah</v>
      </c>
      <c r="B18" s="7" t="s">
        <v>103</v>
      </c>
      <c r="C18" s="8" t="str">
        <f>IndicatorsOah!A18</f>
        <v>water.tds</v>
      </c>
      <c r="D18" s="8" t="str">
        <f>IndicatorsOah!D18</f>
        <v>Total dissolved solids (TDS)</v>
      </c>
      <c r="E18" s="8" t="s">
        <v>27</v>
      </c>
      <c r="F18" s="6"/>
      <c r="G18" s="6" t="s">
        <v>7</v>
      </c>
      <c r="H18" s="8" t="s">
        <v>178</v>
      </c>
    </row>
    <row r="19" spans="1:8" x14ac:dyDescent="0.45">
      <c r="A19" s="7" t="str">
        <f>"http://hl7.eu/fhir/ig/oah/StructureDefinition/"&amp;LogicalModels!$A$2</f>
        <v>http://hl7.eu/fhir/ig/oah/StructureDefinition/IndicatorsOah</v>
      </c>
      <c r="B19" s="7" t="s">
        <v>103</v>
      </c>
      <c r="C19" s="8" t="str">
        <f>IndicatorsOah!A19</f>
        <v>water.tss</v>
      </c>
      <c r="D19" s="8" t="str">
        <f>IndicatorsOah!D19</f>
        <v>Total suspended solids (TSS)</v>
      </c>
      <c r="E19" s="8" t="s">
        <v>27</v>
      </c>
      <c r="F19" s="6"/>
      <c r="G19" s="6" t="s">
        <v>7</v>
      </c>
      <c r="H19" s="8" t="s">
        <v>179</v>
      </c>
    </row>
    <row r="20" spans="1:8" x14ac:dyDescent="0.45">
      <c r="A20" s="7" t="str">
        <f>"http://hl7.eu/fhir/ig/oah/StructureDefinition/"&amp;LogicalModels!$A$2</f>
        <v>http://hl7.eu/fhir/ig/oah/StructureDefinition/IndicatorsOah</v>
      </c>
      <c r="B20" s="7" t="s">
        <v>103</v>
      </c>
      <c r="C20" s="8" t="str">
        <f>IndicatorsOah!A20</f>
        <v>water.conductivity</v>
      </c>
      <c r="D20" s="8" t="str">
        <f>IndicatorsOah!D20</f>
        <v>Conductivity</v>
      </c>
      <c r="E20" s="8" t="s">
        <v>27</v>
      </c>
      <c r="F20" s="6"/>
      <c r="G20" s="6" t="s">
        <v>7</v>
      </c>
      <c r="H20" s="8" t="s">
        <v>180</v>
      </c>
    </row>
    <row r="21" spans="1:8" x14ac:dyDescent="0.45">
      <c r="A21" s="7" t="str">
        <f>"http://hl7.eu/fhir/ig/oah/StructureDefinition/"&amp;LogicalModels!$A$2</f>
        <v>http://hl7.eu/fhir/ig/oah/StructureDefinition/IndicatorsOah</v>
      </c>
      <c r="B21" s="7" t="s">
        <v>103</v>
      </c>
      <c r="C21" s="8" t="str">
        <f>IndicatorsOah!A21</f>
        <v>water.pharmaceuticals</v>
      </c>
      <c r="D21" s="8" t="str">
        <f>IndicatorsOah!D21</f>
        <v>Pharmaceuticals</v>
      </c>
      <c r="E21" s="8" t="s">
        <v>27</v>
      </c>
      <c r="F21" s="6"/>
      <c r="G21" s="6" t="s">
        <v>7</v>
      </c>
      <c r="H21" s="8" t="s">
        <v>181</v>
      </c>
    </row>
    <row r="22" spans="1:8" x14ac:dyDescent="0.45">
      <c r="A22" s="7" t="str">
        <f>"http://hl7.eu/fhir/ig/oah/StructureDefinition/"&amp;LogicalModels!$A$2</f>
        <v>http://hl7.eu/fhir/ig/oah/StructureDefinition/IndicatorsOah</v>
      </c>
      <c r="B22" s="7" t="s">
        <v>103</v>
      </c>
      <c r="C22" s="8" t="str">
        <f>IndicatorsOah!A22</f>
        <v>water.foam</v>
      </c>
      <c r="D22" s="8" t="str">
        <f>IndicatorsOah!D22</f>
        <v>Foam/colour/smell</v>
      </c>
      <c r="E22" s="8" t="s">
        <v>27</v>
      </c>
      <c r="F22" s="6"/>
      <c r="G22" s="6" t="s">
        <v>7</v>
      </c>
      <c r="H22" s="8" t="s">
        <v>182</v>
      </c>
    </row>
    <row r="23" spans="1:8" x14ac:dyDescent="0.45">
      <c r="A23" s="7" t="str">
        <f>"http://hl7.eu/fhir/ig/oah/StructureDefinition/"&amp;LogicalModels!$A$2</f>
        <v>http://hl7.eu/fhir/ig/oah/StructureDefinition/IndicatorsOah</v>
      </c>
      <c r="B23" s="7" t="s">
        <v>103</v>
      </c>
      <c r="C23" s="8" t="str">
        <f>IndicatorsOah!A23</f>
        <v>water.coliforms</v>
      </c>
      <c r="D23" s="8" t="str">
        <f>IndicatorsOah!D23</f>
        <v>Coliforms</v>
      </c>
      <c r="E23" s="8" t="s">
        <v>27</v>
      </c>
      <c r="F23" s="6"/>
      <c r="G23" s="6" t="s">
        <v>7</v>
      </c>
      <c r="H23" s="8" t="s">
        <v>183</v>
      </c>
    </row>
    <row r="24" spans="1:8" x14ac:dyDescent="0.45">
      <c r="A24" s="7" t="str">
        <f>"http://hl7.eu/fhir/ig/oah/StructureDefinition/"&amp;LogicalModels!$A$2</f>
        <v>http://hl7.eu/fhir/ig/oah/StructureDefinition/IndicatorsOah</v>
      </c>
      <c r="B24" s="7" t="s">
        <v>103</v>
      </c>
      <c r="C24" s="8" t="str">
        <f>IndicatorsOah!A24</f>
        <v>bioRisk</v>
      </c>
      <c r="D24" s="8" t="str">
        <f>IndicatorsOah!D24</f>
        <v>Biological indicators of health risks</v>
      </c>
      <c r="E24" s="8" t="s">
        <v>27</v>
      </c>
      <c r="F24" s="6"/>
      <c r="G24" s="6" t="s">
        <v>7</v>
      </c>
      <c r="H24" s="8"/>
    </row>
    <row r="25" spans="1:8" x14ac:dyDescent="0.45">
      <c r="A25" s="7" t="str">
        <f>"http://hl7.eu/fhir/ig/oah/StructureDefinition/"&amp;LogicalModels!$A$2</f>
        <v>http://hl7.eu/fhir/ig/oah/StructureDefinition/IndicatorsOah</v>
      </c>
      <c r="B25" s="7" t="s">
        <v>103</v>
      </c>
      <c r="C25" s="8" t="str">
        <f>IndicatorsOah!A25</f>
        <v>bioRisk.diptera</v>
      </c>
      <c r="D25" s="8" t="str">
        <f>IndicatorsOah!D25</f>
        <v>Diptera</v>
      </c>
      <c r="E25" s="8" t="s">
        <v>27</v>
      </c>
      <c r="F25" s="6"/>
      <c r="G25" s="6" t="s">
        <v>7</v>
      </c>
      <c r="H25" s="8" t="s">
        <v>184</v>
      </c>
    </row>
    <row r="26" spans="1:8" x14ac:dyDescent="0.45">
      <c r="A26" s="7" t="str">
        <f>"http://hl7.eu/fhir/ig/oah/StructureDefinition/"&amp;LogicalModels!$A$2</f>
        <v>http://hl7.eu/fhir/ig/oah/StructureDefinition/IndicatorsOah</v>
      </c>
      <c r="B26" s="7" t="s">
        <v>103</v>
      </c>
      <c r="C26" s="8" t="str">
        <f>IndicatorsOah!A26</f>
        <v>bioRisk.ticks</v>
      </c>
      <c r="D26" s="8" t="str">
        <f>IndicatorsOah!D26</f>
        <v>Ticks</v>
      </c>
      <c r="E26" s="8" t="s">
        <v>27</v>
      </c>
      <c r="F26" s="6"/>
      <c r="G26" s="6" t="s">
        <v>7</v>
      </c>
      <c r="H26" s="8" t="s">
        <v>185</v>
      </c>
    </row>
    <row r="27" spans="1:8" ht="28.5" x14ac:dyDescent="0.45">
      <c r="A27" s="7" t="str">
        <f>"http://hl7.eu/fhir/ig/oah/StructureDefinition/"&amp;LogicalModels!$A$2</f>
        <v>http://hl7.eu/fhir/ig/oah/StructureDefinition/IndicatorsOah</v>
      </c>
      <c r="B27" s="7" t="s">
        <v>103</v>
      </c>
      <c r="C27" s="8" t="str">
        <f>IndicatorsOah!A27</f>
        <v>bioRisk.invasiveOrganisms</v>
      </c>
      <c r="D27" s="8" t="str">
        <f>IndicatorsOah!D27</f>
        <v>Invasive invertebrate, plants and fish</v>
      </c>
      <c r="E27" s="8" t="s">
        <v>27</v>
      </c>
      <c r="F27" s="6"/>
      <c r="G27" s="6" t="s">
        <v>7</v>
      </c>
      <c r="H27" s="8" t="s">
        <v>186</v>
      </c>
    </row>
    <row r="28" spans="1:8" x14ac:dyDescent="0.45">
      <c r="A28" s="7" t="str">
        <f>"http://hl7.eu/fhir/ig/oah/StructureDefinition/"&amp;LogicalModels!$A$2</f>
        <v>http://hl7.eu/fhir/ig/oah/StructureDefinition/IndicatorsOah</v>
      </c>
      <c r="B28" s="7" t="s">
        <v>103</v>
      </c>
      <c r="C28" s="8" t="str">
        <f>IndicatorsOah!A28</f>
        <v>bioRisk.birds</v>
      </c>
      <c r="D28" s="8" t="str">
        <f>IndicatorsOah!D28</f>
        <v>Birds</v>
      </c>
      <c r="E28" s="8" t="s">
        <v>27</v>
      </c>
      <c r="F28" s="6"/>
      <c r="G28" s="6" t="s">
        <v>7</v>
      </c>
      <c r="H28" s="8" t="s">
        <v>187</v>
      </c>
    </row>
    <row r="29" spans="1:8" x14ac:dyDescent="0.45">
      <c r="A29" s="7" t="str">
        <f>"http://hl7.eu/fhir/ig/oah/StructureDefinition/"&amp;LogicalModels!$A$2</f>
        <v>http://hl7.eu/fhir/ig/oah/StructureDefinition/IndicatorsOah</v>
      </c>
      <c r="B29" s="7" t="s">
        <v>103</v>
      </c>
      <c r="C29" s="8" t="str">
        <f>IndicatorsOah!A29</f>
        <v>bioRisk.diatomTratology</v>
      </c>
      <c r="D29" s="8" t="str">
        <f>IndicatorsOah!D29</f>
        <v>Diatom teratology</v>
      </c>
      <c r="E29" s="8" t="s">
        <v>27</v>
      </c>
      <c r="F29" s="6"/>
      <c r="G29" s="6" t="s">
        <v>7</v>
      </c>
      <c r="H29" s="8" t="s">
        <v>188</v>
      </c>
    </row>
    <row r="30" spans="1:8" x14ac:dyDescent="0.45">
      <c r="A30" s="7" t="str">
        <f>"http://hl7.eu/fhir/ig/oah/StructureDefinition/"&amp;LogicalModels!$A$2</f>
        <v>http://hl7.eu/fhir/ig/oah/StructureDefinition/IndicatorsOah</v>
      </c>
      <c r="B30" s="7" t="s">
        <v>103</v>
      </c>
      <c r="C30" s="8" t="str">
        <f>IndicatorsOah!A30</f>
        <v>bioRisk.fish</v>
      </c>
      <c r="D30" s="8" t="str">
        <f>IndicatorsOah!D30</f>
        <v>Fish</v>
      </c>
      <c r="E30" s="8" t="s">
        <v>27</v>
      </c>
      <c r="F30" s="6"/>
      <c r="G30" s="6" t="s">
        <v>7</v>
      </c>
      <c r="H30" s="8" t="s">
        <v>189</v>
      </c>
    </row>
    <row r="31" spans="1:8" x14ac:dyDescent="0.45">
      <c r="A31" s="7" t="str">
        <f>"http://hl7.eu/fhir/ig/oah/StructureDefinition/"&amp;LogicalModels!$A$2</f>
        <v>http://hl7.eu/fhir/ig/oah/StructureDefinition/IndicatorsOah</v>
      </c>
      <c r="B31" s="7" t="s">
        <v>103</v>
      </c>
      <c r="C31" s="8" t="str">
        <f>IndicatorsOah!A31</f>
        <v>bioRisk.amphibians</v>
      </c>
      <c r="D31" s="8" t="str">
        <f>IndicatorsOah!D31</f>
        <v>Amphibians</v>
      </c>
      <c r="E31" s="8" t="s">
        <v>27</v>
      </c>
      <c r="F31" s="6"/>
      <c r="G31" s="6" t="s">
        <v>7</v>
      </c>
      <c r="H31" s="8" t="s">
        <v>190</v>
      </c>
    </row>
    <row r="32" spans="1:8" x14ac:dyDescent="0.45">
      <c r="A32" s="7" t="str">
        <f>"http://hl7.eu/fhir/ig/oah/StructureDefinition/"&amp;LogicalModels!$A$2</f>
        <v>http://hl7.eu/fhir/ig/oah/StructureDefinition/IndicatorsOah</v>
      </c>
      <c r="B32" s="7" t="s">
        <v>103</v>
      </c>
      <c r="C32" s="8" t="str">
        <f>IndicatorsOah!A32</f>
        <v>remote</v>
      </c>
      <c r="D32" s="8" t="str">
        <f>IndicatorsOah!D32</f>
        <v>Remote sensing indices</v>
      </c>
      <c r="E32" s="27" t="s">
        <v>27</v>
      </c>
      <c r="F32" s="6"/>
      <c r="G32" s="6" t="s">
        <v>7</v>
      </c>
      <c r="H32" s="8" t="s">
        <v>190</v>
      </c>
    </row>
    <row r="33" spans="1:8" x14ac:dyDescent="0.45">
      <c r="A33" s="7" t="str">
        <f>"http://hl7.eu/fhir/ig/oah/StructureDefinition/"&amp;LogicalModels!$A$2</f>
        <v>http://hl7.eu/fhir/ig/oah/StructureDefinition/IndicatorsOah</v>
      </c>
      <c r="B33" s="7" t="s">
        <v>103</v>
      </c>
      <c r="C33" s="8" t="str">
        <f>IndicatorsOah!A33</f>
        <v>remote.ndci</v>
      </c>
      <c r="D33" s="8" t="str">
        <f>IndicatorsOah!D33</f>
        <v>Normalized Difference Chlorophyll Index (NDCI)</v>
      </c>
      <c r="E33" s="27" t="s">
        <v>27</v>
      </c>
      <c r="F33" s="6"/>
      <c r="G33" s="6" t="s">
        <v>7</v>
      </c>
      <c r="H33" s="8" t="s">
        <v>190</v>
      </c>
    </row>
    <row r="34" spans="1:8" x14ac:dyDescent="0.45">
      <c r="A34" s="7" t="str">
        <f>"http://hl7.eu/fhir/ig/oah/StructureDefinition/"&amp;LogicalModels!$A$2</f>
        <v>http://hl7.eu/fhir/ig/oah/StructureDefinition/IndicatorsOah</v>
      </c>
      <c r="B34" s="7" t="s">
        <v>103</v>
      </c>
      <c r="C34" s="8" t="str">
        <f>IndicatorsOah!A34</f>
        <v>remote.mci</v>
      </c>
      <c r="D34" s="8" t="str">
        <f>IndicatorsOah!D34</f>
        <v>Maximum Chlorophyll Index (MCI)</v>
      </c>
      <c r="E34" s="27" t="s">
        <v>27</v>
      </c>
      <c r="F34" s="6"/>
      <c r="G34" s="6" t="s">
        <v>7</v>
      </c>
      <c r="H34" s="8" t="s">
        <v>190</v>
      </c>
    </row>
    <row r="35" spans="1:8" x14ac:dyDescent="0.45">
      <c r="A35" s="7" t="str">
        <f>"http://hl7.eu/fhir/ig/oah/StructureDefinition/"&amp;LogicalModels!$A$2</f>
        <v>http://hl7.eu/fhir/ig/oah/StructureDefinition/IndicatorsOah</v>
      </c>
      <c r="B35" s="7" t="s">
        <v>103</v>
      </c>
      <c r="C35" s="8" t="str">
        <f>IndicatorsOah!A35</f>
        <v>remote.bwdrvi</v>
      </c>
      <c r="D35" s="8" t="str">
        <f>IndicatorsOah!D35</f>
        <v>Blue Wide Dynamic Range Vegetation Index (BWDRVI)</v>
      </c>
      <c r="E35" s="27" t="s">
        <v>27</v>
      </c>
      <c r="F35" s="6"/>
      <c r="G35" s="6" t="s">
        <v>7</v>
      </c>
      <c r="H35" s="8" t="s">
        <v>190</v>
      </c>
    </row>
    <row r="36" spans="1:8" x14ac:dyDescent="0.45">
      <c r="A36" s="7" t="str">
        <f>"http://hl7.eu/fhir/ig/oah/StructureDefinition/"&amp;LogicalModels!$A$2</f>
        <v>http://hl7.eu/fhir/ig/oah/StructureDefinition/IndicatorsOah</v>
      </c>
      <c r="B36" s="7" t="s">
        <v>103</v>
      </c>
      <c r="C36" s="8" t="str">
        <f>IndicatorsOah!A36</f>
        <v>remote.evi</v>
      </c>
      <c r="D36" s="8" t="str">
        <f>IndicatorsOah!D36</f>
        <v>Enhanced Vegetation Index (EVI)</v>
      </c>
      <c r="E36" s="27" t="s">
        <v>27</v>
      </c>
      <c r="F36" s="6"/>
      <c r="G36" s="6" t="s">
        <v>7</v>
      </c>
      <c r="H36" s="8" t="s">
        <v>190</v>
      </c>
    </row>
    <row r="37" spans="1:8" x14ac:dyDescent="0.45">
      <c r="A37" s="7"/>
      <c r="B37" s="7" t="s">
        <v>103</v>
      </c>
      <c r="C37" s="8" t="str">
        <f>IndicatorsOah!A37</f>
        <v>remote.evi2</v>
      </c>
      <c r="D37" s="8" t="str">
        <f>IndicatorsOah!D37</f>
        <v>Enhanced Vegetation Index  2 (EVI2)</v>
      </c>
      <c r="E37" s="27" t="s">
        <v>27</v>
      </c>
      <c r="F37" s="6"/>
      <c r="G37" s="6" t="s">
        <v>7</v>
      </c>
      <c r="H37" s="8" t="s">
        <v>190</v>
      </c>
    </row>
    <row r="38" spans="1:8" x14ac:dyDescent="0.45">
      <c r="A38" s="7" t="str">
        <f>"http://hl7.eu/fhir/ig/oah/StructureDefinition/"&amp;LogicalModels!$A$2</f>
        <v>http://hl7.eu/fhir/ig/oah/StructureDefinition/IndicatorsOah</v>
      </c>
      <c r="B38" s="7" t="s">
        <v>103</v>
      </c>
      <c r="C38" s="8" t="str">
        <f>IndicatorsOah!A38</f>
        <v>remote.ndvi</v>
      </c>
      <c r="D38" s="8" t="str">
        <f>IndicatorsOah!D38</f>
        <v>Normalized Difference Vegetation Index (NDVI)</v>
      </c>
      <c r="E38" s="27" t="s">
        <v>27</v>
      </c>
      <c r="F38" s="6"/>
      <c r="G38" s="6" t="s">
        <v>7</v>
      </c>
      <c r="H38" s="8" t="s">
        <v>190</v>
      </c>
    </row>
    <row r="39" spans="1:8" ht="28.5" x14ac:dyDescent="0.45">
      <c r="A39" s="7"/>
      <c r="B39" s="7" t="s">
        <v>103</v>
      </c>
      <c r="C39" s="8" t="str">
        <f>IndicatorsOah!A39</f>
        <v>remote.mndvi</v>
      </c>
      <c r="D39" s="8" t="str">
        <f>IndicatorsOah!D39</f>
        <v>Modified Normalized Difference Vegetation Index (mNDVI)</v>
      </c>
      <c r="E39" s="27" t="s">
        <v>27</v>
      </c>
      <c r="F39" s="6"/>
      <c r="G39" s="6" t="s">
        <v>7</v>
      </c>
      <c r="H39" s="8" t="s">
        <v>190</v>
      </c>
    </row>
    <row r="40" spans="1:8" x14ac:dyDescent="0.45">
      <c r="A40" s="7" t="str">
        <f>"http://hl7.eu/fhir/ig/oah/StructureDefinition/"&amp;LogicalModels!$A$2</f>
        <v>http://hl7.eu/fhir/ig/oah/StructureDefinition/IndicatorsOah</v>
      </c>
      <c r="B40" s="7" t="s">
        <v>103</v>
      </c>
      <c r="C40" s="8" t="str">
        <f>IndicatorsOah!A40</f>
        <v>remote.ndwi</v>
      </c>
      <c r="D40" s="8" t="str">
        <f>IndicatorsOah!D40</f>
        <v>Normalized Difference Water Index (NDWI)</v>
      </c>
      <c r="E40" s="27" t="s">
        <v>27</v>
      </c>
      <c r="F40" s="6"/>
      <c r="G40" s="6" t="s">
        <v>7</v>
      </c>
      <c r="H40" s="8" t="s">
        <v>190</v>
      </c>
    </row>
    <row r="41" spans="1:8" x14ac:dyDescent="0.45">
      <c r="A41" s="7" t="str">
        <f>"http://hl7.eu/fhir/ig/oah/StructureDefinition/"&amp;LogicalModels!$A$2</f>
        <v>http://hl7.eu/fhir/ig/oah/StructureDefinition/IndicatorsOah</v>
      </c>
      <c r="B41" s="7" t="s">
        <v>103</v>
      </c>
      <c r="C41" s="8" t="str">
        <f>IndicatorsOah!A41</f>
        <v>remote.savi</v>
      </c>
      <c r="D41" s="8" t="str">
        <f>IndicatorsOah!D41</f>
        <v>Soil Adjusted Vegetation Index (SAVI)</v>
      </c>
      <c r="E41" s="27" t="s">
        <v>27</v>
      </c>
      <c r="F41" s="6"/>
      <c r="G41" s="6" t="s">
        <v>7</v>
      </c>
      <c r="H41" s="8" t="s">
        <v>190</v>
      </c>
    </row>
    <row r="42" spans="1:8" x14ac:dyDescent="0.45">
      <c r="A42" s="7" t="str">
        <f>"http://hl7.eu/fhir/ig/oah/StructureDefinition/"&amp;LogicalModels!$A$2</f>
        <v>http://hl7.eu/fhir/ig/oah/StructureDefinition/IndicatorsOah</v>
      </c>
      <c r="B42" s="7" t="s">
        <v>103</v>
      </c>
      <c r="C42" s="8" t="str">
        <f>IndicatorsOah!A42</f>
        <v>remote.tsavi</v>
      </c>
      <c r="D42" s="8" t="str">
        <f>IndicatorsOah!D42</f>
        <v>Transformed Soil Adjusted Vegetation Index (TSAVI)</v>
      </c>
      <c r="E42" s="27" t="s">
        <v>27</v>
      </c>
      <c r="F42" s="6"/>
      <c r="G42" s="6" t="s">
        <v>7</v>
      </c>
      <c r="H42" s="8" t="s">
        <v>190</v>
      </c>
    </row>
    <row r="43" spans="1:8" x14ac:dyDescent="0.45">
      <c r="A43" s="7" t="str">
        <f>"http://hl7.eu/fhir/ig/oah/StructureDefinition/"&amp;LogicalModels!$A$2</f>
        <v>http://hl7.eu/fhir/ig/oah/StructureDefinition/IndicatorsOah</v>
      </c>
      <c r="B43" s="7" t="s">
        <v>103</v>
      </c>
      <c r="C43" s="8" t="str">
        <f>IndicatorsOah!A43</f>
        <v>remote.lwci</v>
      </c>
      <c r="D43" s="8" t="str">
        <f>IndicatorsOah!D43</f>
        <v>Leaf Water Content Index (LWCI)</v>
      </c>
      <c r="E43" s="27" t="s">
        <v>27</v>
      </c>
      <c r="F43" s="6"/>
      <c r="G43" s="6" t="s">
        <v>7</v>
      </c>
      <c r="H43" s="8" t="s">
        <v>190</v>
      </c>
    </row>
    <row r="44" spans="1:8" x14ac:dyDescent="0.45">
      <c r="A44" s="7" t="str">
        <f>"http://hl7.eu/fhir/ig/oah/StructureDefinition/"&amp;LogicalModels!$A$2</f>
        <v>http://hl7.eu/fhir/ig/oah/StructureDefinition/IndicatorsOah</v>
      </c>
      <c r="B44" s="7" t="s">
        <v>103</v>
      </c>
      <c r="C44" s="8" t="str">
        <f>IndicatorsOah!A44</f>
        <v>remote.gvmi</v>
      </c>
      <c r="D44" s="8" t="str">
        <f>IndicatorsOah!D44</f>
        <v>Global Vegetation Moisture Index (GVMI)</v>
      </c>
      <c r="E44" s="27" t="s">
        <v>27</v>
      </c>
      <c r="F44" s="6"/>
      <c r="G44" s="6" t="s">
        <v>7</v>
      </c>
      <c r="H44" s="8" t="s">
        <v>190</v>
      </c>
    </row>
    <row r="45" spans="1:8" x14ac:dyDescent="0.45">
      <c r="A45" s="7" t="str">
        <f>"http://hl7.eu/fhir/ig/oah/StructureDefinition/"&amp;LogicalModels!$A$2</f>
        <v>http://hl7.eu/fhir/ig/oah/StructureDefinition/IndicatorsOah</v>
      </c>
      <c r="B45" s="7" t="s">
        <v>103</v>
      </c>
      <c r="C45" s="8" t="str">
        <f>IndicatorsOah!A45</f>
        <v>remote.gemi</v>
      </c>
      <c r="D45" s="8" t="str">
        <f>IndicatorsOah!D45</f>
        <v>Global Environment Monitoring Index (GEMI)</v>
      </c>
      <c r="E45" s="27" t="s">
        <v>27</v>
      </c>
      <c r="F45" s="6"/>
      <c r="G45" s="6" t="s">
        <v>7</v>
      </c>
      <c r="H45" s="8" t="s">
        <v>190</v>
      </c>
    </row>
    <row r="46" spans="1:8" x14ac:dyDescent="0.45">
      <c r="A46" s="7" t="str">
        <f>"http://hl7.eu/fhir/ig/oah/StructureDefinition/"&amp;LogicalModels!$A$2</f>
        <v>http://hl7.eu/fhir/ig/oah/StructureDefinition/IndicatorsOah</v>
      </c>
      <c r="B46" s="7" t="s">
        <v>103</v>
      </c>
      <c r="C46" s="8" t="str">
        <f>IndicatorsOah!A46</f>
        <v>remote.lai</v>
      </c>
      <c r="D46" s="8" t="str">
        <f>IndicatorsOah!D46</f>
        <v>Leaf Area Index (LAI)</v>
      </c>
      <c r="E46" s="27" t="s">
        <v>27</v>
      </c>
      <c r="F46" s="6"/>
      <c r="G46" s="6" t="s">
        <v>7</v>
      </c>
      <c r="H46" s="8" t="s">
        <v>190</v>
      </c>
    </row>
    <row r="47" spans="1:8" x14ac:dyDescent="0.45">
      <c r="A47" s="7" t="str">
        <f>"http://hl7.eu/fhir/ig/oah/StructureDefinition/"&amp;LogicalModels!$A$2</f>
        <v>http://hl7.eu/fhir/ig/oah/StructureDefinition/IndicatorsOah</v>
      </c>
      <c r="B47" s="7" t="s">
        <v>103</v>
      </c>
      <c r="C47" s="8" t="str">
        <f>IndicatorsOah!A47</f>
        <v>remote.glai</v>
      </c>
      <c r="D47" s="8" t="str">
        <f>IndicatorsOah!D47</f>
        <v>Green Leaf Area Index (GLAI)</v>
      </c>
      <c r="E47" s="27" t="s">
        <v>27</v>
      </c>
      <c r="F47" s="6"/>
      <c r="G47" s="6" t="s">
        <v>7</v>
      </c>
      <c r="H47" s="8" t="s">
        <v>190</v>
      </c>
    </row>
    <row r="48" spans="1:8" ht="28.5" x14ac:dyDescent="0.45">
      <c r="A48" s="7" t="str">
        <f>"http://hl7.eu/fhir/ig/oah/StructureDefinition/"&amp;LogicalModels!$A$2</f>
        <v>http://hl7.eu/fhir/ig/oah/StructureDefinition/IndicatorsOah</v>
      </c>
      <c r="B48" s="7" t="s">
        <v>103</v>
      </c>
      <c r="C48" s="8" t="str">
        <f>IndicatorsOah!A48</f>
        <v>remote.fapar</v>
      </c>
      <c r="D48" s="8" t="str">
        <f>IndicatorsOah!D48</f>
        <v>Fraction of Absorbed Photosynthetically Active Radiation (FAPAR)</v>
      </c>
      <c r="E48" s="27" t="s">
        <v>27</v>
      </c>
      <c r="F48" s="6"/>
      <c r="G48" s="6" t="s">
        <v>7</v>
      </c>
      <c r="H48" s="8" t="s">
        <v>190</v>
      </c>
    </row>
    <row r="49" spans="1:8" ht="28.5" x14ac:dyDescent="0.45">
      <c r="A49" s="7" t="str">
        <f>"http://hl7.eu/fhir/ig/oah/StructureDefinition/"&amp;LogicalModels!$A$2</f>
        <v>http://hl7.eu/fhir/ig/oah/StructureDefinition/IndicatorsOah</v>
      </c>
      <c r="B49" s="7" t="s">
        <v>103</v>
      </c>
      <c r="C49" s="8" t="str">
        <f>IndicatorsOah!A49</f>
        <v>remote.mndwi</v>
      </c>
      <c r="D49" s="8" t="str">
        <f>IndicatorsOah!D49</f>
        <v>Modified Normalized Difference Water Index (MNDWI)</v>
      </c>
      <c r="E49" s="27" t="s">
        <v>27</v>
      </c>
      <c r="F49" s="6"/>
      <c r="G49" s="6" t="s">
        <v>7</v>
      </c>
      <c r="H49" s="8" t="s">
        <v>190</v>
      </c>
    </row>
    <row r="50" spans="1:8" ht="28.5" x14ac:dyDescent="0.45">
      <c r="A50" s="7" t="str">
        <f>"http://hl7.eu/fhir/ig/oah/StructureDefinition/"&amp;LogicalModels!$A$2</f>
        <v>http://hl7.eu/fhir/ig/oah/StructureDefinition/IndicatorsOah</v>
      </c>
      <c r="B50" s="7" t="s">
        <v>103</v>
      </c>
      <c r="C50" s="8" t="str">
        <f>IndicatorsOah!A50</f>
        <v>remote.andwi</v>
      </c>
      <c r="D50" s="8" t="str">
        <f>IndicatorsOah!D50</f>
        <v>Augmented Normalized Difference Water Index (ANDWI)</v>
      </c>
      <c r="E50" s="27" t="s">
        <v>27</v>
      </c>
      <c r="F50" s="6"/>
      <c r="G50" s="6" t="s">
        <v>7</v>
      </c>
      <c r="H50" s="8" t="s">
        <v>190</v>
      </c>
    </row>
    <row r="51" spans="1:8" x14ac:dyDescent="0.45">
      <c r="A51" s="7" t="str">
        <f>"http://hl7.eu/fhir/ig/oah/StructureDefinition/"&amp;LogicalModels!$A$2</f>
        <v>http://hl7.eu/fhir/ig/oah/StructureDefinition/IndicatorsOah</v>
      </c>
      <c r="B51" s="7" t="s">
        <v>103</v>
      </c>
      <c r="C51" s="8" t="str">
        <f>IndicatorsOah!A51</f>
        <v>remote.s2wi</v>
      </c>
      <c r="D51" s="8" t="str">
        <f>IndicatorsOah!D51</f>
        <v>Sentinel-2 Water Index (S2WI)</v>
      </c>
      <c r="E51" s="27" t="s">
        <v>27</v>
      </c>
      <c r="F51" s="6"/>
      <c r="G51" s="6" t="s">
        <v>7</v>
      </c>
      <c r="H51" s="8" t="s">
        <v>190</v>
      </c>
    </row>
    <row r="52" spans="1:8" x14ac:dyDescent="0.45">
      <c r="A52" s="7" t="str">
        <f>"http://hl7.eu/fhir/ig/oah/StructureDefinition/"&amp;LogicalModels!$A$2</f>
        <v>http://hl7.eu/fhir/ig/oah/StructureDefinition/IndicatorsOah</v>
      </c>
      <c r="B52" s="7" t="s">
        <v>103</v>
      </c>
      <c r="C52" s="8" t="str">
        <f>IndicatorsOah!A52</f>
        <v>remote.lswi</v>
      </c>
      <c r="D52" s="8" t="str">
        <f>IndicatorsOah!D52</f>
        <v>Land Surface Water Index (LSWI)</v>
      </c>
      <c r="E52" s="27" t="s">
        <v>27</v>
      </c>
      <c r="F52" s="6"/>
      <c r="G52" s="6" t="s">
        <v>7</v>
      </c>
      <c r="H52" s="8" t="s">
        <v>190</v>
      </c>
    </row>
    <row r="53" spans="1:8" x14ac:dyDescent="0.45">
      <c r="A53" s="7" t="str">
        <f>"http://hl7.eu/fhir/ig/oah/StructureDefinition/"&amp;LogicalModels!$A$2</f>
        <v>http://hl7.eu/fhir/ig/oah/StructureDefinition/IndicatorsOah</v>
      </c>
      <c r="B53" s="7" t="s">
        <v>103</v>
      </c>
      <c r="C53" s="8" t="str">
        <f>IndicatorsOah!A53</f>
        <v>remote.ndviMndwiModel</v>
      </c>
      <c r="D53" s="8" t="str">
        <f>IndicatorsOah!D53</f>
        <v>NDVI–MNDWI Model</v>
      </c>
      <c r="E53" s="27" t="s">
        <v>27</v>
      </c>
      <c r="F53" s="6"/>
      <c r="G53" s="6" t="s">
        <v>7</v>
      </c>
      <c r="H53" s="8" t="s">
        <v>190</v>
      </c>
    </row>
    <row r="54" spans="1:8" x14ac:dyDescent="0.45">
      <c r="A54" s="7" t="str">
        <f>"http://hl7.eu/fhir/ig/oah/StructureDefinition/"&amp;LogicalModels!$A$2</f>
        <v>http://hl7.eu/fhir/ig/oah/StructureDefinition/IndicatorsOah</v>
      </c>
      <c r="B54" s="7" t="s">
        <v>103</v>
      </c>
      <c r="C54" s="8" t="str">
        <f>IndicatorsOah!A54</f>
        <v>remote.lst</v>
      </c>
      <c r="D54" s="8" t="str">
        <f>IndicatorsOah!D54</f>
        <v>Land Surface Temperature (LST)</v>
      </c>
      <c r="E54" s="27" t="s">
        <v>27</v>
      </c>
      <c r="F54" s="6"/>
      <c r="G54" s="6" t="s">
        <v>7</v>
      </c>
      <c r="H54" s="8" t="s">
        <v>190</v>
      </c>
    </row>
    <row r="55" spans="1:8" x14ac:dyDescent="0.45">
      <c r="A55" s="7" t="str">
        <f>"http://hl7.eu/fhir/ig/oah/StructureDefinition/"&amp;LogicalModels!$A$2</f>
        <v>http://hl7.eu/fhir/ig/oah/StructureDefinition/IndicatorsOah</v>
      </c>
      <c r="B55" s="7" t="s">
        <v>103</v>
      </c>
      <c r="C55" s="8" t="str">
        <f>IndicatorsOah!A55</f>
        <v>remote.blfei</v>
      </c>
      <c r="D55" s="8" t="str">
        <f>IndicatorsOah!D55</f>
        <v>Built-Up Land Features Extraction Index (BLFEI)</v>
      </c>
      <c r="E55" s="27" t="s">
        <v>27</v>
      </c>
      <c r="F55" s="6"/>
      <c r="G55" s="6" t="s">
        <v>7</v>
      </c>
      <c r="H55" s="8" t="s">
        <v>190</v>
      </c>
    </row>
    <row r="56" spans="1:8" x14ac:dyDescent="0.45">
      <c r="A56" s="7" t="str">
        <f>"http://hl7.eu/fhir/ig/oah/StructureDefinition/"&amp;LogicalModels!$A$2</f>
        <v>http://hl7.eu/fhir/ig/oah/StructureDefinition/IndicatorsOah</v>
      </c>
      <c r="B56" s="7" t="s">
        <v>103</v>
      </c>
      <c r="C56" s="8" t="str">
        <f>IndicatorsOah!A56</f>
        <v>remote.brba</v>
      </c>
      <c r="D56" s="8" t="str">
        <f>IndicatorsOah!D56</f>
        <v>Band Ratio for Built-up Area (BRBA)</v>
      </c>
      <c r="E56" s="27" t="s">
        <v>27</v>
      </c>
      <c r="F56" s="6"/>
      <c r="G56" s="6" t="s">
        <v>7</v>
      </c>
      <c r="H56" s="8" t="s">
        <v>190</v>
      </c>
    </row>
    <row r="57" spans="1:8" x14ac:dyDescent="0.45">
      <c r="A57" s="7" t="str">
        <f>"http://hl7.eu/fhir/ig/oah/StructureDefinition/"&amp;LogicalModels!$A$2</f>
        <v>http://hl7.eu/fhir/ig/oah/StructureDefinition/IndicatorsOah</v>
      </c>
      <c r="B57" s="7" t="s">
        <v>103</v>
      </c>
      <c r="C57" s="8" t="str">
        <f>IndicatorsOah!A57</f>
        <v>remote.nbai</v>
      </c>
      <c r="D57" s="8" t="str">
        <f>IndicatorsOah!D57</f>
        <v>Normalized Built-up Area Index (NBAI)</v>
      </c>
      <c r="E57" s="27" t="s">
        <v>27</v>
      </c>
      <c r="F57" s="6"/>
      <c r="G57" s="6" t="s">
        <v>7</v>
      </c>
      <c r="H57" s="8" t="s">
        <v>190</v>
      </c>
    </row>
    <row r="58" spans="1:8" x14ac:dyDescent="0.45">
      <c r="A58" s="7" t="str">
        <f>"http://hl7.eu/fhir/ig/oah/StructureDefinition/"&amp;LogicalModels!$A$2</f>
        <v>http://hl7.eu/fhir/ig/oah/StructureDefinition/IndicatorsOah</v>
      </c>
      <c r="B58" s="7" t="s">
        <v>103</v>
      </c>
      <c r="C58" s="8" t="str">
        <f>IndicatorsOah!A58</f>
        <v>remote.ibi</v>
      </c>
      <c r="D58" s="8" t="str">
        <f>IndicatorsOah!D58</f>
        <v>Index-Based Built-Up Index (IBI)</v>
      </c>
      <c r="E58" s="27" t="s">
        <v>27</v>
      </c>
      <c r="F58" s="6"/>
      <c r="G58" s="6" t="s">
        <v>7</v>
      </c>
      <c r="H58" s="8" t="s">
        <v>190</v>
      </c>
    </row>
    <row r="59" spans="1:8" x14ac:dyDescent="0.45">
      <c r="A59" s="7" t="str">
        <f>"http://hl7.eu/fhir/ig/oah/StructureDefinition/"&amp;LogicalModels!$A$2</f>
        <v>http://hl7.eu/fhir/ig/oah/StructureDefinition/IndicatorsOah</v>
      </c>
      <c r="B59" s="7" t="s">
        <v>103</v>
      </c>
      <c r="C59" s="8" t="str">
        <f>IndicatorsOah!A59</f>
        <v>remote.ebbi</v>
      </c>
      <c r="D59" s="8" t="str">
        <f>IndicatorsOah!D59</f>
        <v>Enhanced Built-Up and Bareness Index (EBBI)</v>
      </c>
      <c r="E59" s="27" t="s">
        <v>27</v>
      </c>
      <c r="F59" s="6"/>
      <c r="G59" s="6" t="s">
        <v>7</v>
      </c>
      <c r="H59" s="8" t="s">
        <v>190</v>
      </c>
    </row>
    <row r="60" spans="1:8" x14ac:dyDescent="0.45">
      <c r="A60" s="7" t="str">
        <f>"http://hl7.eu/fhir/ig/oah/StructureDefinition/"&amp;LogicalModels!$A$2</f>
        <v>http://hl7.eu/fhir/ig/oah/StructureDefinition/IndicatorsOah</v>
      </c>
      <c r="B60" s="7" t="s">
        <v>103</v>
      </c>
      <c r="C60" s="8" t="str">
        <f>IndicatorsOah!A60</f>
        <v>remote.pisi</v>
      </c>
      <c r="D60" s="8" t="str">
        <f>IndicatorsOah!D60</f>
        <v>Perpendicular Impervious Surface Index (PISI)</v>
      </c>
      <c r="E60" s="27" t="s">
        <v>27</v>
      </c>
      <c r="F60" s="6"/>
      <c r="G60" s="6" t="s">
        <v>7</v>
      </c>
      <c r="H60" s="8" t="s">
        <v>190</v>
      </c>
    </row>
    <row r="61" spans="1:8" x14ac:dyDescent="0.45">
      <c r="A61" s="7" t="str">
        <f>"http://hl7.eu/fhir/ig/oah/StructureDefinition/"&amp;LogicalModels!$A$2</f>
        <v>http://hl7.eu/fhir/ig/oah/StructureDefinition/IndicatorsOah</v>
      </c>
      <c r="B61" s="7" t="s">
        <v>103</v>
      </c>
      <c r="C61" s="8" t="str">
        <f>IndicatorsOah!A61</f>
        <v>remote.ui</v>
      </c>
      <c r="D61" s="8" t="str">
        <f>IndicatorsOah!D61</f>
        <v>Urban Index (UI)</v>
      </c>
      <c r="E61" s="27" t="s">
        <v>27</v>
      </c>
      <c r="F61" s="6"/>
      <c r="G61" s="6" t="s">
        <v>7</v>
      </c>
      <c r="H61" s="8" t="s">
        <v>190</v>
      </c>
    </row>
    <row r="62" spans="1:8" x14ac:dyDescent="0.45">
      <c r="A62" s="7" t="str">
        <f>"http://hl7.eu/fhir/ig/oah/StructureDefinition/"&amp;LogicalModels!$A$2</f>
        <v>http://hl7.eu/fhir/ig/oah/StructureDefinition/IndicatorsOah</v>
      </c>
      <c r="B62" s="7" t="s">
        <v>103</v>
      </c>
      <c r="C62" s="8" t="str">
        <f>IndicatorsOah!A62</f>
        <v>remote.vibi</v>
      </c>
      <c r="D62" s="8" t="str">
        <f>IndicatorsOah!D62</f>
        <v>Vegetation Index Built-up Index (VIBI)</v>
      </c>
      <c r="E62" s="27" t="s">
        <v>27</v>
      </c>
      <c r="F62" s="6"/>
      <c r="G62" s="6" t="s">
        <v>7</v>
      </c>
      <c r="H62" s="8" t="s">
        <v>190</v>
      </c>
    </row>
    <row r="63" spans="1:8" s="3" customFormat="1" x14ac:dyDescent="0.45">
      <c r="C63" s="42"/>
      <c r="D63" s="42"/>
      <c r="H63" s="42"/>
    </row>
  </sheetData>
  <hyperlinks>
    <hyperlink ref="B2" r:id="rId1" xr:uid="{59D91ED4-2DF1-4999-9702-333D5B4701FB}"/>
    <hyperlink ref="A1" r:id="rId2" display="http://hl7.eu/fhir/hdr/StructureDefinition/composition-eu-hdr" xr:uid="{7243FA7D-51BD-482B-BCBD-549089E492AF}"/>
    <hyperlink ref="B4" r:id="rId3" xr:uid="{BEE4E2F4-063C-4DFF-82C5-B6626E4B1A4E}"/>
  </hyperlinks>
  <pageMargins left="0.7" right="0.7" top="0.75" bottom="0.75" header="0.3" footer="0.3"/>
  <pageSetup paperSize="9" orientation="portrait"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7BB8F-F241-4238-A116-030260AF1676}">
  <sheetPr>
    <tabColor theme="6" tint="0.79998168889431442"/>
  </sheetPr>
  <dimension ref="A1:E62"/>
  <sheetViews>
    <sheetView zoomScale="99" workbookViewId="0">
      <selection activeCell="C2" sqref="C2"/>
    </sheetView>
  </sheetViews>
  <sheetFormatPr defaultRowHeight="14.25" x14ac:dyDescent="0.45"/>
  <cols>
    <col min="1" max="1" width="53.86328125" customWidth="1"/>
    <col min="2" max="2" width="11.53125" customWidth="1"/>
    <col min="3" max="3" width="36.19921875" customWidth="1"/>
    <col min="4" max="4" width="50.19921875" bestFit="1" customWidth="1"/>
    <col min="5" max="5" width="62" bestFit="1" customWidth="1"/>
  </cols>
  <sheetData>
    <row r="1" spans="1:5" x14ac:dyDescent="0.45">
      <c r="A1" s="16" t="s">
        <v>9</v>
      </c>
      <c r="B1" s="16" t="s">
        <v>10</v>
      </c>
      <c r="C1" s="16" t="s">
        <v>11</v>
      </c>
      <c r="D1" s="16" t="s">
        <v>12</v>
      </c>
      <c r="E1" s="16" t="s">
        <v>13</v>
      </c>
    </row>
    <row r="2" spans="1:5" ht="42.75" x14ac:dyDescent="0.45">
      <c r="A2" t="s">
        <v>69</v>
      </c>
      <c r="B2" s="6" t="s">
        <v>77</v>
      </c>
      <c r="C2" s="6" t="s">
        <v>29</v>
      </c>
      <c r="D2" s="8" t="s">
        <v>30</v>
      </c>
      <c r="E2" s="8" t="s">
        <v>31</v>
      </c>
    </row>
    <row r="3" spans="1:5" x14ac:dyDescent="0.45">
      <c r="A3" s="26" t="s">
        <v>71</v>
      </c>
      <c r="B3" s="6" t="s">
        <v>14</v>
      </c>
      <c r="C3" s="6" t="s">
        <v>157</v>
      </c>
      <c r="D3" s="17" t="s">
        <v>32</v>
      </c>
      <c r="E3" s="17" t="s">
        <v>158</v>
      </c>
    </row>
    <row r="4" spans="1:5" ht="28.5" x14ac:dyDescent="0.45">
      <c r="A4" s="26" t="s">
        <v>72</v>
      </c>
      <c r="B4" s="6" t="s">
        <v>14</v>
      </c>
      <c r="C4" s="6" t="s">
        <v>157</v>
      </c>
      <c r="D4" s="18" t="s">
        <v>36</v>
      </c>
      <c r="E4" s="18" t="s">
        <v>159</v>
      </c>
    </row>
    <row r="5" spans="1:5" x14ac:dyDescent="0.45">
      <c r="A5" s="26" t="s">
        <v>73</v>
      </c>
      <c r="B5" s="6" t="s">
        <v>14</v>
      </c>
      <c r="C5" s="6" t="s">
        <v>157</v>
      </c>
      <c r="D5" s="17" t="s">
        <v>33</v>
      </c>
      <c r="E5" s="17" t="s">
        <v>160</v>
      </c>
    </row>
    <row r="6" spans="1:5" x14ac:dyDescent="0.45">
      <c r="A6" s="26" t="s">
        <v>74</v>
      </c>
      <c r="B6" s="6" t="s">
        <v>14</v>
      </c>
      <c r="C6" s="6" t="s">
        <v>156</v>
      </c>
      <c r="D6" s="17" t="s">
        <v>34</v>
      </c>
      <c r="E6" s="17" t="s">
        <v>161</v>
      </c>
    </row>
    <row r="7" spans="1:5" x14ac:dyDescent="0.45">
      <c r="A7" s="32" t="s">
        <v>75</v>
      </c>
      <c r="B7" s="6" t="s">
        <v>14</v>
      </c>
      <c r="C7" s="6" t="s">
        <v>156</v>
      </c>
      <c r="D7" s="17" t="s">
        <v>35</v>
      </c>
      <c r="E7" s="17" t="s">
        <v>162</v>
      </c>
    </row>
    <row r="8" spans="1:5" x14ac:dyDescent="0.45">
      <c r="A8" s="33" t="s">
        <v>76</v>
      </c>
      <c r="B8" s="6" t="s">
        <v>14</v>
      </c>
      <c r="C8" s="11" t="s">
        <v>29</v>
      </c>
      <c r="D8" s="19" t="s">
        <v>37</v>
      </c>
      <c r="E8" s="19" t="s">
        <v>37</v>
      </c>
    </row>
    <row r="9" spans="1:5" ht="99.75" x14ac:dyDescent="0.45">
      <c r="A9" t="s">
        <v>70</v>
      </c>
      <c r="B9" s="6" t="s">
        <v>77</v>
      </c>
      <c r="C9" s="11" t="s">
        <v>29</v>
      </c>
      <c r="D9" s="5" t="s">
        <v>43</v>
      </c>
      <c r="E9" s="5" t="s">
        <v>44</v>
      </c>
    </row>
    <row r="10" spans="1:5" ht="28.5" x14ac:dyDescent="0.45">
      <c r="A10" s="20" t="s">
        <v>78</v>
      </c>
      <c r="B10" s="6" t="s">
        <v>14</v>
      </c>
      <c r="C10" s="11" t="s">
        <v>29</v>
      </c>
      <c r="D10" s="20" t="s">
        <v>41</v>
      </c>
      <c r="E10" s="23" t="s">
        <v>38</v>
      </c>
    </row>
    <row r="11" spans="1:5" ht="28.5" x14ac:dyDescent="0.45">
      <c r="A11" s="20" t="s">
        <v>79</v>
      </c>
      <c r="B11" s="6" t="s">
        <v>14</v>
      </c>
      <c r="C11" s="11" t="s">
        <v>29</v>
      </c>
      <c r="D11" s="20" t="s">
        <v>42</v>
      </c>
      <c r="E11" s="23" t="s">
        <v>39</v>
      </c>
    </row>
    <row r="12" spans="1:5" x14ac:dyDescent="0.45">
      <c r="A12" s="20" t="s">
        <v>80</v>
      </c>
      <c r="B12" s="6" t="s">
        <v>14</v>
      </c>
      <c r="C12" s="11" t="s">
        <v>29</v>
      </c>
      <c r="D12" s="20" t="s">
        <v>40</v>
      </c>
      <c r="E12" s="23" t="s">
        <v>40</v>
      </c>
    </row>
    <row r="13" spans="1:5" ht="114" x14ac:dyDescent="0.45">
      <c r="A13" s="20" t="s">
        <v>81</v>
      </c>
      <c r="B13" s="6" t="s">
        <v>77</v>
      </c>
      <c r="C13" s="11" t="s">
        <v>29</v>
      </c>
      <c r="D13" s="5" t="s">
        <v>55</v>
      </c>
      <c r="E13" s="5" t="s">
        <v>56</v>
      </c>
    </row>
    <row r="14" spans="1:5" x14ac:dyDescent="0.45">
      <c r="A14" s="21" t="s">
        <v>82</v>
      </c>
      <c r="B14" s="6" t="s">
        <v>14</v>
      </c>
      <c r="C14" s="11" t="s">
        <v>29</v>
      </c>
      <c r="D14" s="21" t="s">
        <v>52</v>
      </c>
      <c r="E14" s="24" t="s">
        <v>45</v>
      </c>
    </row>
    <row r="15" spans="1:5" x14ac:dyDescent="0.45">
      <c r="A15" s="21" t="s">
        <v>83</v>
      </c>
      <c r="B15" s="6" t="s">
        <v>14</v>
      </c>
      <c r="C15" s="11" t="s">
        <v>29</v>
      </c>
      <c r="D15" s="21" t="s">
        <v>46</v>
      </c>
      <c r="E15" s="24" t="s">
        <v>46</v>
      </c>
    </row>
    <row r="16" spans="1:5" x14ac:dyDescent="0.45">
      <c r="A16" s="21" t="s">
        <v>84</v>
      </c>
      <c r="B16" s="6" t="s">
        <v>14</v>
      </c>
      <c r="C16" s="11" t="s">
        <v>29</v>
      </c>
      <c r="D16" s="21" t="s">
        <v>68</v>
      </c>
      <c r="E16" s="24" t="s">
        <v>68</v>
      </c>
    </row>
    <row r="17" spans="1:5" x14ac:dyDescent="0.45">
      <c r="A17" s="21" t="s">
        <v>85</v>
      </c>
      <c r="B17" s="6" t="s">
        <v>14</v>
      </c>
      <c r="C17" s="11" t="s">
        <v>29</v>
      </c>
      <c r="D17" s="21" t="s">
        <v>47</v>
      </c>
      <c r="E17" s="24" t="s">
        <v>47</v>
      </c>
    </row>
    <row r="18" spans="1:5" x14ac:dyDescent="0.45">
      <c r="A18" s="21" t="s">
        <v>86</v>
      </c>
      <c r="B18" s="6" t="s">
        <v>14</v>
      </c>
      <c r="C18" s="11" t="s">
        <v>29</v>
      </c>
      <c r="D18" s="21" t="s">
        <v>53</v>
      </c>
      <c r="E18" s="24" t="s">
        <v>53</v>
      </c>
    </row>
    <row r="19" spans="1:5" x14ac:dyDescent="0.45">
      <c r="A19" s="21" t="s">
        <v>87</v>
      </c>
      <c r="B19" s="6" t="s">
        <v>14</v>
      </c>
      <c r="C19" s="11" t="s">
        <v>29</v>
      </c>
      <c r="D19" s="21" t="s">
        <v>54</v>
      </c>
      <c r="E19" s="24" t="s">
        <v>54</v>
      </c>
    </row>
    <row r="20" spans="1:5" x14ac:dyDescent="0.45">
      <c r="A20" s="21" t="s">
        <v>88</v>
      </c>
      <c r="B20" s="6" t="s">
        <v>14</v>
      </c>
      <c r="C20" s="11" t="s">
        <v>29</v>
      </c>
      <c r="D20" s="21" t="s">
        <v>48</v>
      </c>
      <c r="E20" s="24" t="s">
        <v>48</v>
      </c>
    </row>
    <row r="21" spans="1:5" x14ac:dyDescent="0.45">
      <c r="A21" s="21" t="s">
        <v>89</v>
      </c>
      <c r="B21" s="6" t="s">
        <v>14</v>
      </c>
      <c r="C21" s="11" t="s">
        <v>29</v>
      </c>
      <c r="D21" s="21" t="s">
        <v>49</v>
      </c>
      <c r="E21" s="24" t="s">
        <v>49</v>
      </c>
    </row>
    <row r="22" spans="1:5" x14ac:dyDescent="0.45">
      <c r="A22" s="21" t="s">
        <v>90</v>
      </c>
      <c r="B22" s="6" t="s">
        <v>14</v>
      </c>
      <c r="C22" s="11" t="s">
        <v>29</v>
      </c>
      <c r="D22" s="21" t="s">
        <v>50</v>
      </c>
      <c r="E22" s="24" t="s">
        <v>50</v>
      </c>
    </row>
    <row r="23" spans="1:5" x14ac:dyDescent="0.45">
      <c r="A23" s="21" t="s">
        <v>91</v>
      </c>
      <c r="B23" s="6" t="s">
        <v>14</v>
      </c>
      <c r="C23" s="11" t="s">
        <v>29</v>
      </c>
      <c r="D23" s="21" t="s">
        <v>51</v>
      </c>
      <c r="E23" s="24" t="s">
        <v>51</v>
      </c>
    </row>
    <row r="24" spans="1:5" ht="71.25" x14ac:dyDescent="0.45">
      <c r="A24" s="21" t="s">
        <v>92</v>
      </c>
      <c r="B24" s="6" t="s">
        <v>77</v>
      </c>
      <c r="C24" s="11" t="s">
        <v>29</v>
      </c>
      <c r="D24" s="5" t="s">
        <v>65</v>
      </c>
      <c r="E24" s="5" t="s">
        <v>66</v>
      </c>
    </row>
    <row r="25" spans="1:5" x14ac:dyDescent="0.45">
      <c r="A25" s="22" t="s">
        <v>93</v>
      </c>
      <c r="B25" s="6" t="s">
        <v>14</v>
      </c>
      <c r="C25" s="11" t="s">
        <v>29</v>
      </c>
      <c r="D25" s="22" t="s">
        <v>63</v>
      </c>
      <c r="E25" s="25" t="s">
        <v>57</v>
      </c>
    </row>
    <row r="26" spans="1:5" x14ac:dyDescent="0.45">
      <c r="A26" s="22" t="s">
        <v>94</v>
      </c>
      <c r="B26" s="6" t="s">
        <v>14</v>
      </c>
      <c r="C26" s="11" t="s">
        <v>29</v>
      </c>
      <c r="D26" s="22" t="s">
        <v>58</v>
      </c>
      <c r="E26" s="25" t="s">
        <v>58</v>
      </c>
    </row>
    <row r="27" spans="1:5" x14ac:dyDescent="0.45">
      <c r="A27" s="22" t="s">
        <v>95</v>
      </c>
      <c r="B27" s="6" t="s">
        <v>14</v>
      </c>
      <c r="C27" s="11" t="s">
        <v>29</v>
      </c>
      <c r="D27" s="22" t="s">
        <v>59</v>
      </c>
      <c r="E27" s="25" t="s">
        <v>59</v>
      </c>
    </row>
    <row r="28" spans="1:5" x14ac:dyDescent="0.45">
      <c r="A28" s="22" t="s">
        <v>96</v>
      </c>
      <c r="B28" s="6" t="s">
        <v>14</v>
      </c>
      <c r="C28" s="11" t="s">
        <v>29</v>
      </c>
      <c r="D28" s="22" t="s">
        <v>60</v>
      </c>
      <c r="E28" s="25" t="s">
        <v>60</v>
      </c>
    </row>
    <row r="29" spans="1:5" x14ac:dyDescent="0.45">
      <c r="A29" s="22" t="s">
        <v>97</v>
      </c>
      <c r="B29" s="6" t="s">
        <v>14</v>
      </c>
      <c r="C29" s="11" t="s">
        <v>29</v>
      </c>
      <c r="D29" s="22" t="s">
        <v>64</v>
      </c>
      <c r="E29" s="25" t="s">
        <v>61</v>
      </c>
    </row>
    <row r="30" spans="1:5" x14ac:dyDescent="0.45">
      <c r="A30" s="22" t="s">
        <v>98</v>
      </c>
      <c r="B30" s="6" t="s">
        <v>14</v>
      </c>
      <c r="C30" s="11" t="s">
        <v>29</v>
      </c>
      <c r="D30" s="22" t="s">
        <v>33</v>
      </c>
      <c r="E30" s="25" t="s">
        <v>33</v>
      </c>
    </row>
    <row r="31" spans="1:5" x14ac:dyDescent="0.45">
      <c r="A31" s="22" t="s">
        <v>99</v>
      </c>
      <c r="B31" s="6" t="s">
        <v>14</v>
      </c>
      <c r="C31" s="11" t="s">
        <v>29</v>
      </c>
      <c r="D31" s="22" t="s">
        <v>62</v>
      </c>
      <c r="E31" s="25" t="s">
        <v>62</v>
      </c>
    </row>
    <row r="32" spans="1:5" ht="28.5" x14ac:dyDescent="0.45">
      <c r="A32" s="21" t="s">
        <v>315</v>
      </c>
      <c r="B32" s="29" t="s">
        <v>77</v>
      </c>
      <c r="C32" s="41" t="s">
        <v>29</v>
      </c>
      <c r="D32" t="s">
        <v>316</v>
      </c>
      <c r="E32" s="5" t="s">
        <v>317</v>
      </c>
    </row>
    <row r="33" spans="1:5" x14ac:dyDescent="0.45">
      <c r="A33" s="22" t="s">
        <v>318</v>
      </c>
      <c r="B33" s="29" t="s">
        <v>14</v>
      </c>
      <c r="C33" s="41" t="s">
        <v>29</v>
      </c>
      <c r="D33" s="22" t="s">
        <v>319</v>
      </c>
      <c r="E33" s="25" t="s">
        <v>320</v>
      </c>
    </row>
    <row r="34" spans="1:5" x14ac:dyDescent="0.45">
      <c r="A34" s="22" t="s">
        <v>321</v>
      </c>
      <c r="B34" s="29" t="s">
        <v>14</v>
      </c>
      <c r="C34" s="41" t="s">
        <v>29</v>
      </c>
      <c r="D34" s="22" t="s">
        <v>322</v>
      </c>
      <c r="E34" s="25" t="s">
        <v>323</v>
      </c>
    </row>
    <row r="35" spans="1:5" x14ac:dyDescent="0.45">
      <c r="A35" s="22" t="s">
        <v>324</v>
      </c>
      <c r="B35" s="29" t="s">
        <v>14</v>
      </c>
      <c r="C35" s="41" t="s">
        <v>29</v>
      </c>
      <c r="D35" s="22" t="s">
        <v>325</v>
      </c>
      <c r="E35" s="25" t="s">
        <v>326</v>
      </c>
    </row>
    <row r="36" spans="1:5" x14ac:dyDescent="0.45">
      <c r="A36" s="22" t="s">
        <v>327</v>
      </c>
      <c r="B36" s="29" t="s">
        <v>14</v>
      </c>
      <c r="C36" s="41" t="s">
        <v>29</v>
      </c>
      <c r="D36" s="22" t="s">
        <v>328</v>
      </c>
      <c r="E36" s="25" t="s">
        <v>329</v>
      </c>
    </row>
    <row r="37" spans="1:5" x14ac:dyDescent="0.45">
      <c r="A37" s="22" t="s">
        <v>339</v>
      </c>
      <c r="B37" s="29" t="s">
        <v>14</v>
      </c>
      <c r="C37" s="41" t="s">
        <v>29</v>
      </c>
      <c r="D37" s="22" t="s">
        <v>340</v>
      </c>
      <c r="E37" s="25" t="s">
        <v>341</v>
      </c>
    </row>
    <row r="38" spans="1:5" x14ac:dyDescent="0.45">
      <c r="A38" s="22" t="s">
        <v>330</v>
      </c>
      <c r="B38" s="29" t="s">
        <v>14</v>
      </c>
      <c r="C38" s="41" t="s">
        <v>29</v>
      </c>
      <c r="D38" s="22" t="s">
        <v>331</v>
      </c>
      <c r="E38" s="25" t="s">
        <v>332</v>
      </c>
    </row>
    <row r="39" spans="1:5" x14ac:dyDescent="0.45">
      <c r="A39" s="22" t="s">
        <v>336</v>
      </c>
      <c r="B39" s="29" t="s">
        <v>14</v>
      </c>
      <c r="C39" s="41" t="s">
        <v>29</v>
      </c>
      <c r="D39" s="22" t="s">
        <v>337</v>
      </c>
      <c r="E39" s="25" t="s">
        <v>338</v>
      </c>
    </row>
    <row r="40" spans="1:5" x14ac:dyDescent="0.45">
      <c r="A40" s="22" t="s">
        <v>333</v>
      </c>
      <c r="B40" s="29" t="s">
        <v>14</v>
      </c>
      <c r="C40" s="41" t="s">
        <v>29</v>
      </c>
      <c r="D40" s="22" t="s">
        <v>334</v>
      </c>
      <c r="E40" s="25" t="s">
        <v>335</v>
      </c>
    </row>
    <row r="41" spans="1:5" x14ac:dyDescent="0.45">
      <c r="A41" s="22" t="s">
        <v>342</v>
      </c>
      <c r="B41" t="s">
        <v>14</v>
      </c>
      <c r="C41" s="41" t="s">
        <v>29</v>
      </c>
      <c r="D41" s="22" t="s">
        <v>363</v>
      </c>
      <c r="E41" s="22" t="s">
        <v>364</v>
      </c>
    </row>
    <row r="42" spans="1:5" x14ac:dyDescent="0.45">
      <c r="A42" s="22" t="s">
        <v>343</v>
      </c>
      <c r="B42" t="s">
        <v>14</v>
      </c>
      <c r="C42" s="41" t="s">
        <v>29</v>
      </c>
      <c r="D42" s="22" t="s">
        <v>406</v>
      </c>
      <c r="E42" s="22" t="s">
        <v>365</v>
      </c>
    </row>
    <row r="43" spans="1:5" x14ac:dyDescent="0.45">
      <c r="A43" s="22" t="s">
        <v>344</v>
      </c>
      <c r="B43" t="s">
        <v>14</v>
      </c>
      <c r="C43" s="41" t="s">
        <v>29</v>
      </c>
      <c r="D43" s="22" t="s">
        <v>386</v>
      </c>
      <c r="E43" s="22" t="s">
        <v>366</v>
      </c>
    </row>
    <row r="44" spans="1:5" x14ac:dyDescent="0.45">
      <c r="A44" s="22" t="s">
        <v>345</v>
      </c>
      <c r="B44" t="s">
        <v>14</v>
      </c>
      <c r="C44" s="41" t="s">
        <v>29</v>
      </c>
      <c r="D44" s="22" t="s">
        <v>387</v>
      </c>
      <c r="E44" s="22" t="s">
        <v>367</v>
      </c>
    </row>
    <row r="45" spans="1:5" x14ac:dyDescent="0.45">
      <c r="A45" s="22" t="s">
        <v>346</v>
      </c>
      <c r="B45" t="s">
        <v>14</v>
      </c>
      <c r="C45" s="41" t="s">
        <v>29</v>
      </c>
      <c r="D45" s="22" t="s">
        <v>388</v>
      </c>
      <c r="E45" s="22" t="s">
        <v>368</v>
      </c>
    </row>
    <row r="46" spans="1:5" x14ac:dyDescent="0.45">
      <c r="A46" s="22" t="s">
        <v>347</v>
      </c>
      <c r="B46" t="s">
        <v>14</v>
      </c>
      <c r="C46" s="41" t="s">
        <v>29</v>
      </c>
      <c r="D46" s="22" t="s">
        <v>389</v>
      </c>
      <c r="E46" s="22" t="s">
        <v>369</v>
      </c>
    </row>
    <row r="47" spans="1:5" x14ac:dyDescent="0.45">
      <c r="A47" s="22" t="s">
        <v>348</v>
      </c>
      <c r="B47" t="s">
        <v>14</v>
      </c>
      <c r="C47" s="41" t="s">
        <v>29</v>
      </c>
      <c r="D47" s="22" t="s">
        <v>390</v>
      </c>
      <c r="E47" s="22" t="s">
        <v>370</v>
      </c>
    </row>
    <row r="48" spans="1:5" x14ac:dyDescent="0.45">
      <c r="A48" s="22" t="s">
        <v>349</v>
      </c>
      <c r="B48" t="s">
        <v>14</v>
      </c>
      <c r="C48" s="41" t="s">
        <v>29</v>
      </c>
      <c r="D48" s="22" t="s">
        <v>391</v>
      </c>
      <c r="E48" s="22" t="s">
        <v>371</v>
      </c>
    </row>
    <row r="49" spans="1:5" x14ac:dyDescent="0.45">
      <c r="A49" s="22" t="s">
        <v>350</v>
      </c>
      <c r="B49" t="s">
        <v>14</v>
      </c>
      <c r="C49" s="41" t="s">
        <v>29</v>
      </c>
      <c r="D49" s="22" t="s">
        <v>392</v>
      </c>
      <c r="E49" s="22" t="s">
        <v>372</v>
      </c>
    </row>
    <row r="50" spans="1:5" x14ac:dyDescent="0.45">
      <c r="A50" s="22" t="s">
        <v>351</v>
      </c>
      <c r="B50" t="s">
        <v>14</v>
      </c>
      <c r="C50" s="41" t="s">
        <v>29</v>
      </c>
      <c r="D50" s="22" t="s">
        <v>393</v>
      </c>
      <c r="E50" s="22" t="s">
        <v>373</v>
      </c>
    </row>
    <row r="51" spans="1:5" x14ac:dyDescent="0.45">
      <c r="A51" s="22" t="s">
        <v>352</v>
      </c>
      <c r="B51" t="s">
        <v>14</v>
      </c>
      <c r="C51" s="41" t="s">
        <v>29</v>
      </c>
      <c r="D51" s="22" t="s">
        <v>394</v>
      </c>
      <c r="E51" s="22" t="s">
        <v>374</v>
      </c>
    </row>
    <row r="52" spans="1:5" x14ac:dyDescent="0.45">
      <c r="A52" s="22" t="s">
        <v>353</v>
      </c>
      <c r="B52" t="s">
        <v>14</v>
      </c>
      <c r="C52" s="41" t="s">
        <v>29</v>
      </c>
      <c r="D52" s="22" t="s">
        <v>395</v>
      </c>
      <c r="E52" s="22" t="s">
        <v>375</v>
      </c>
    </row>
    <row r="53" spans="1:5" x14ac:dyDescent="0.45">
      <c r="A53" s="22" t="s">
        <v>407</v>
      </c>
      <c r="B53" t="s">
        <v>14</v>
      </c>
      <c r="C53" s="41" t="s">
        <v>29</v>
      </c>
      <c r="D53" s="22" t="s">
        <v>396</v>
      </c>
      <c r="E53" s="22" t="s">
        <v>376</v>
      </c>
    </row>
    <row r="54" spans="1:5" x14ac:dyDescent="0.45">
      <c r="A54" s="22" t="s">
        <v>354</v>
      </c>
      <c r="B54" t="s">
        <v>14</v>
      </c>
      <c r="C54" s="41" t="s">
        <v>29</v>
      </c>
      <c r="D54" s="22" t="s">
        <v>397</v>
      </c>
      <c r="E54" s="22" t="s">
        <v>377</v>
      </c>
    </row>
    <row r="55" spans="1:5" x14ac:dyDescent="0.45">
      <c r="A55" s="22" t="s">
        <v>355</v>
      </c>
      <c r="B55" t="s">
        <v>14</v>
      </c>
      <c r="C55" s="41" t="s">
        <v>29</v>
      </c>
      <c r="D55" s="22" t="s">
        <v>398</v>
      </c>
      <c r="E55" s="22" t="s">
        <v>378</v>
      </c>
    </row>
    <row r="56" spans="1:5" x14ac:dyDescent="0.45">
      <c r="A56" s="22" t="s">
        <v>356</v>
      </c>
      <c r="B56" t="s">
        <v>14</v>
      </c>
      <c r="C56" s="41" t="s">
        <v>29</v>
      </c>
      <c r="D56" s="22" t="s">
        <v>399</v>
      </c>
      <c r="E56" s="22" t="s">
        <v>379</v>
      </c>
    </row>
    <row r="57" spans="1:5" x14ac:dyDescent="0.45">
      <c r="A57" s="22" t="s">
        <v>357</v>
      </c>
      <c r="B57" t="s">
        <v>14</v>
      </c>
      <c r="C57" s="41" t="s">
        <v>29</v>
      </c>
      <c r="D57" s="22" t="s">
        <v>400</v>
      </c>
      <c r="E57" s="22" t="s">
        <v>380</v>
      </c>
    </row>
    <row r="58" spans="1:5" x14ac:dyDescent="0.45">
      <c r="A58" s="22" t="s">
        <v>358</v>
      </c>
      <c r="B58" t="s">
        <v>14</v>
      </c>
      <c r="C58" s="41" t="s">
        <v>29</v>
      </c>
      <c r="D58" s="22" t="s">
        <v>401</v>
      </c>
      <c r="E58" s="22" t="s">
        <v>381</v>
      </c>
    </row>
    <row r="59" spans="1:5" x14ac:dyDescent="0.45">
      <c r="A59" s="22" t="s">
        <v>359</v>
      </c>
      <c r="B59" t="s">
        <v>14</v>
      </c>
      <c r="C59" s="41" t="s">
        <v>29</v>
      </c>
      <c r="D59" s="22" t="s">
        <v>402</v>
      </c>
      <c r="E59" s="22" t="s">
        <v>382</v>
      </c>
    </row>
    <row r="60" spans="1:5" x14ac:dyDescent="0.45">
      <c r="A60" s="22" t="s">
        <v>360</v>
      </c>
      <c r="B60" t="s">
        <v>14</v>
      </c>
      <c r="C60" s="41" t="s">
        <v>29</v>
      </c>
      <c r="D60" s="22" t="s">
        <v>403</v>
      </c>
      <c r="E60" s="22" t="s">
        <v>383</v>
      </c>
    </row>
    <row r="61" spans="1:5" x14ac:dyDescent="0.45">
      <c r="A61" s="22" t="s">
        <v>361</v>
      </c>
      <c r="B61" t="s">
        <v>14</v>
      </c>
      <c r="C61" s="41" t="s">
        <v>29</v>
      </c>
      <c r="D61" s="22" t="s">
        <v>404</v>
      </c>
      <c r="E61" s="22" t="s">
        <v>384</v>
      </c>
    </row>
    <row r="62" spans="1:5" x14ac:dyDescent="0.45">
      <c r="A62" s="22" t="s">
        <v>362</v>
      </c>
      <c r="B62" t="s">
        <v>14</v>
      </c>
      <c r="C62" s="41" t="s">
        <v>29</v>
      </c>
      <c r="D62" s="22" t="s">
        <v>405</v>
      </c>
      <c r="E62" s="22" t="s">
        <v>385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073F5-A8D3-49DE-9F2B-C279B45B9525}">
  <sheetPr>
    <tabColor theme="7" tint="0.59999389629810485"/>
  </sheetPr>
  <dimension ref="A1:H16"/>
  <sheetViews>
    <sheetView zoomScale="99" zoomScaleNormal="100" workbookViewId="0">
      <selection activeCell="B11" sqref="B11"/>
    </sheetView>
  </sheetViews>
  <sheetFormatPr defaultRowHeight="14.25" x14ac:dyDescent="0.45"/>
  <cols>
    <col min="1" max="1" width="58.06640625" bestFit="1" customWidth="1"/>
    <col min="2" max="2" width="71.86328125" customWidth="1"/>
    <col min="3" max="3" width="24.796875" style="5" customWidth="1"/>
    <col min="4" max="4" width="31.19921875" style="5" customWidth="1"/>
    <col min="5" max="5" width="31.19921875" customWidth="1"/>
    <col min="6" max="6" width="22" customWidth="1"/>
    <col min="7" max="7" width="11.06640625" customWidth="1"/>
    <col min="8" max="8" width="37.53125" style="5" customWidth="1"/>
  </cols>
  <sheetData>
    <row r="1" spans="1:8" s="14" customFormat="1" x14ac:dyDescent="0.45">
      <c r="A1" s="13" t="s">
        <v>0</v>
      </c>
      <c r="B1" s="13" t="s">
        <v>1</v>
      </c>
      <c r="C1" s="15" t="s">
        <v>2</v>
      </c>
      <c r="D1" s="15" t="s">
        <v>3</v>
      </c>
      <c r="E1" s="13" t="s">
        <v>4</v>
      </c>
      <c r="F1" s="13" t="s">
        <v>5</v>
      </c>
      <c r="G1" s="13" t="s">
        <v>6</v>
      </c>
      <c r="H1" s="15" t="s">
        <v>8</v>
      </c>
    </row>
    <row r="2" spans="1:8" ht="28.5" x14ac:dyDescent="0.45">
      <c r="A2" s="7" t="str">
        <f>"http://hl7.eu/fhir/ig/oah/StructureDefinition/"&amp;LogicalModels!$A$8</f>
        <v>http://hl7.eu/fhir/ig/oah/StructureDefinition/HealthMeasure</v>
      </c>
      <c r="B2" s="40" t="s">
        <v>491</v>
      </c>
      <c r="C2" s="8" t="str">
        <f>HealthMeasureOah!A2</f>
        <v>site</v>
      </c>
      <c r="D2" s="8" t="str">
        <f>HealthMeasureOah!D2</f>
        <v>Sampling Site</v>
      </c>
      <c r="E2" s="8" t="s">
        <v>195</v>
      </c>
      <c r="F2" s="6"/>
      <c r="G2" s="6" t="s">
        <v>7</v>
      </c>
      <c r="H2" s="8" t="s">
        <v>194</v>
      </c>
    </row>
    <row r="3" spans="1:8" x14ac:dyDescent="0.45">
      <c r="A3" s="7" t="str">
        <f>"http://hl7.eu/fhir/ig/oah/StructureDefinition/"&amp;LogicalModels!$A$8</f>
        <v>http://hl7.eu/fhir/ig/oah/StructureDefinition/HealthMeasure</v>
      </c>
      <c r="B3" s="40" t="s">
        <v>491</v>
      </c>
      <c r="C3" s="8" t="str">
        <f>HealthMeasureOah!A3</f>
        <v>site.identifier</v>
      </c>
      <c r="D3" s="8" t="str">
        <f>HealthMeasureOah!D3</f>
        <v>Site identifier</v>
      </c>
      <c r="E3" s="8" t="s">
        <v>195</v>
      </c>
      <c r="F3" s="6"/>
      <c r="G3" s="6" t="s">
        <v>7</v>
      </c>
      <c r="H3" s="8"/>
    </row>
    <row r="4" spans="1:8" x14ac:dyDescent="0.45">
      <c r="A4" s="7" t="str">
        <f>"http://hl7.eu/fhir/ig/oah/StructureDefinition/"&amp;LogicalModels!$A$8</f>
        <v>http://hl7.eu/fhir/ig/oah/StructureDefinition/HealthMeasure</v>
      </c>
      <c r="B4" s="40" t="s">
        <v>491</v>
      </c>
      <c r="C4" s="8" t="str">
        <f>HealthMeasureOah!A4</f>
        <v>site.name</v>
      </c>
      <c r="D4" s="8" t="str">
        <f>HealthMeasureOah!D4</f>
        <v>Site Name</v>
      </c>
      <c r="E4" s="8" t="s">
        <v>195</v>
      </c>
      <c r="F4" s="6" t="str">
        <f>""</f>
        <v/>
      </c>
      <c r="G4" s="6" t="s">
        <v>7</v>
      </c>
      <c r="H4" s="8"/>
    </row>
    <row r="5" spans="1:8" x14ac:dyDescent="0.45">
      <c r="A5" s="7" t="str">
        <f>"http://hl7.eu/fhir/ig/oah/StructureDefinition/"&amp;LogicalModels!$A$8</f>
        <v>http://hl7.eu/fhir/ig/oah/StructureDefinition/HealthMeasure</v>
      </c>
      <c r="B5" s="40" t="s">
        <v>491</v>
      </c>
      <c r="C5" s="8" t="str">
        <f>HealthMeasureOah!A5</f>
        <v>site.gps</v>
      </c>
      <c r="D5" s="8" t="str">
        <f>HealthMeasureOah!D5</f>
        <v>GPS</v>
      </c>
      <c r="E5" s="8" t="s">
        <v>195</v>
      </c>
      <c r="F5" s="6" t="str">
        <f>""</f>
        <v/>
      </c>
      <c r="G5" s="6" t="s">
        <v>7</v>
      </c>
      <c r="H5" s="8"/>
    </row>
    <row r="6" spans="1:8" x14ac:dyDescent="0.45">
      <c r="A6" s="7" t="str">
        <f>"http://hl7.eu/fhir/ig/oah/StructureDefinition/"&amp;LogicalModels!$A$8</f>
        <v>http://hl7.eu/fhir/ig/oah/StructureDefinition/HealthMeasure</v>
      </c>
      <c r="B6" s="40" t="s">
        <v>491</v>
      </c>
      <c r="C6" s="8" t="str">
        <f>HealthMeasureOah!A6</f>
        <v>site.characteristics</v>
      </c>
      <c r="D6" s="8" t="str">
        <f>HealthMeasureOah!D6</f>
        <v>Characteristics</v>
      </c>
      <c r="E6" s="8" t="s">
        <v>195</v>
      </c>
      <c r="F6" s="6" t="str">
        <f>""</f>
        <v/>
      </c>
      <c r="G6" s="6" t="s">
        <v>7</v>
      </c>
      <c r="H6" s="8"/>
    </row>
    <row r="7" spans="1:8" x14ac:dyDescent="0.45">
      <c r="A7" s="7" t="str">
        <f>"http://hl7.eu/fhir/ig/oah/StructureDefinition/"&amp;LogicalModels!$A$8</f>
        <v>http://hl7.eu/fhir/ig/oah/StructureDefinition/HealthMeasure</v>
      </c>
      <c r="B7" s="40" t="s">
        <v>491</v>
      </c>
      <c r="C7" s="8" t="str">
        <f>HealthMeasureOah!A7</f>
        <v>dateOrPeriod[x]</v>
      </c>
      <c r="D7" s="8" t="str">
        <f>HealthMeasureOah!D7</f>
        <v>Measure Date or Period</v>
      </c>
      <c r="E7" s="8" t="s">
        <v>482</v>
      </c>
      <c r="F7" s="6"/>
      <c r="G7" s="6" t="s">
        <v>211</v>
      </c>
      <c r="H7" s="8" t="s">
        <v>200</v>
      </c>
    </row>
    <row r="8" spans="1:8" x14ac:dyDescent="0.45">
      <c r="A8" s="7" t="str">
        <f>"http://hl7.eu/fhir/ig/oah/StructureDefinition/"&amp;LogicalModels!$A$8</f>
        <v>http://hl7.eu/fhir/ig/oah/StructureDefinition/HealthMeasure</v>
      </c>
      <c r="B8" s="40" t="s">
        <v>491</v>
      </c>
      <c r="C8" s="8" t="str">
        <f>HealthMeasureOah!A8</f>
        <v>perfomer[x]</v>
      </c>
      <c r="D8" s="8" t="str">
        <f>HealthMeasureOah!D8</f>
        <v>Performer</v>
      </c>
      <c r="E8" s="8" t="s">
        <v>199</v>
      </c>
      <c r="F8" s="6"/>
      <c r="G8" s="6" t="s">
        <v>211</v>
      </c>
      <c r="H8" s="8"/>
    </row>
    <row r="9" spans="1:8" x14ac:dyDescent="0.45">
      <c r="A9" s="7" t="str">
        <f>"http://hl7.eu/fhir/ig/oah/StructureDefinition/"&amp;LogicalModels!$A$8</f>
        <v>http://hl7.eu/fhir/ig/oah/StructureDefinition/HealthMeasure</v>
      </c>
      <c r="B9" s="40" t="s">
        <v>491</v>
      </c>
      <c r="C9" s="8" t="str">
        <f>HealthMeasureOah!A9</f>
        <v>type</v>
      </c>
      <c r="D9" s="8" t="str">
        <f>HealthMeasureOah!D9</f>
        <v>What is measured</v>
      </c>
      <c r="E9" s="8" t="s">
        <v>197</v>
      </c>
      <c r="G9" s="6" t="s">
        <v>211</v>
      </c>
    </row>
    <row r="10" spans="1:8" x14ac:dyDescent="0.45">
      <c r="A10" s="7" t="str">
        <f>"http://hl7.eu/fhir/ig/oah/StructureDefinition/"&amp;LogicalModels!$A$8</f>
        <v>http://hl7.eu/fhir/ig/oah/StructureDefinition/HealthMeasure</v>
      </c>
      <c r="B10" s="40" t="s">
        <v>491</v>
      </c>
      <c r="C10" s="8" t="str">
        <f>HealthMeasureOah!A10</f>
        <v>result[x]</v>
      </c>
      <c r="D10" s="8" t="str">
        <f>HealthMeasureOah!D10</f>
        <v>Result</v>
      </c>
      <c r="E10" s="8" t="s">
        <v>28</v>
      </c>
      <c r="G10" s="6" t="s">
        <v>211</v>
      </c>
    </row>
    <row r="11" spans="1:8" x14ac:dyDescent="0.45">
      <c r="A11" s="7" t="str">
        <f>"http://hl7.eu/fhir/ig/oah/StructureDefinition/"&amp;LogicalModels!$A$8</f>
        <v>http://hl7.eu/fhir/ig/oah/StructureDefinition/HealthMeasure</v>
      </c>
      <c r="B11" s="40" t="s">
        <v>491</v>
      </c>
      <c r="C11" s="8" t="str">
        <f>HealthMeasureOah!A11</f>
        <v>cohort</v>
      </c>
      <c r="D11" s="8" t="str">
        <f>HealthMeasureOah!D11</f>
        <v>Cohort</v>
      </c>
      <c r="E11" s="8" t="s">
        <v>483</v>
      </c>
      <c r="G11" s="6" t="s">
        <v>7</v>
      </c>
    </row>
    <row r="12" spans="1:8" x14ac:dyDescent="0.45">
      <c r="A12" s="7" t="str">
        <f>"http://hl7.eu/fhir/ig/oah/StructureDefinition/"&amp;LogicalModels!$A$8</f>
        <v>http://hl7.eu/fhir/ig/oah/StructureDefinition/HealthMeasure</v>
      </c>
      <c r="B12" s="1" t="s">
        <v>492</v>
      </c>
      <c r="C12" s="8" t="str">
        <f>HealthMeasureOah!A11</f>
        <v>cohort</v>
      </c>
      <c r="D12" s="8" t="str">
        <f>HealthMeasureOah!D11</f>
        <v>Cohort</v>
      </c>
      <c r="E12" s="8" t="s">
        <v>483</v>
      </c>
      <c r="G12" s="6" t="s">
        <v>211</v>
      </c>
    </row>
    <row r="13" spans="1:8" x14ac:dyDescent="0.45">
      <c r="C13"/>
      <c r="D13"/>
    </row>
    <row r="14" spans="1:8" x14ac:dyDescent="0.45">
      <c r="C14"/>
      <c r="D14"/>
    </row>
    <row r="15" spans="1:8" x14ac:dyDescent="0.45">
      <c r="C15"/>
      <c r="D15"/>
    </row>
    <row r="16" spans="1:8" x14ac:dyDescent="0.45">
      <c r="C16"/>
      <c r="D16"/>
    </row>
  </sheetData>
  <hyperlinks>
    <hyperlink ref="B2" r:id="rId1" xr:uid="{C4567C37-90CE-47CE-8A0D-3B45C73FA168}"/>
    <hyperlink ref="A1" r:id="rId2" display="http://hl7.eu/fhir/hdr/StructureDefinition/composition-eu-hdr" xr:uid="{1A84C05F-87C6-4A03-8243-A8AD37DB433C}"/>
    <hyperlink ref="B3:B11" r:id="rId3" display="http://hl7.eu/fhir/ig/oah/StructureDefinition/observation-health-measure-oah" xr:uid="{E106BFBE-AF04-4846-86C2-F0592EA060B6}"/>
    <hyperlink ref="B11" r:id="rId4" xr:uid="{F0EBE519-BC01-4182-A8A6-F3620EE66067}"/>
    <hyperlink ref="B12" r:id="rId5" xr:uid="{90A1F5D6-7E93-44F4-94C6-874EEB36C64E}"/>
  </hyperlinks>
  <pageMargins left="0.7" right="0.7" top="0.75" bottom="0.75" header="0.3" footer="0.3"/>
  <pageSetup paperSize="9" orientation="portrait"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F0EF7-8237-4091-A62C-388E6738FC80}">
  <sheetPr>
    <tabColor theme="6" tint="0.79998168889431442"/>
  </sheetPr>
  <dimension ref="A1:E11"/>
  <sheetViews>
    <sheetView zoomScale="99" workbookViewId="0">
      <selection activeCell="E12" sqref="E12"/>
    </sheetView>
  </sheetViews>
  <sheetFormatPr defaultRowHeight="14.25" x14ac:dyDescent="0.45"/>
  <cols>
    <col min="1" max="1" width="20.46484375" customWidth="1"/>
    <col min="2" max="2" width="11.53125" customWidth="1"/>
    <col min="3" max="3" width="33" customWidth="1"/>
    <col min="4" max="4" width="23.33203125" customWidth="1"/>
    <col min="5" max="5" width="35.06640625" style="5" customWidth="1"/>
  </cols>
  <sheetData>
    <row r="1" spans="1:5" x14ac:dyDescent="0.45">
      <c r="A1" s="16" t="s">
        <v>9</v>
      </c>
      <c r="B1" s="16" t="s">
        <v>10</v>
      </c>
      <c r="C1" s="16" t="s">
        <v>11</v>
      </c>
      <c r="D1" s="16" t="s">
        <v>12</v>
      </c>
      <c r="E1" s="50" t="s">
        <v>13</v>
      </c>
    </row>
    <row r="2" spans="1:5" x14ac:dyDescent="0.45">
      <c r="A2" s="8" t="s">
        <v>107</v>
      </c>
      <c r="B2" s="8" t="s">
        <v>120</v>
      </c>
      <c r="C2" s="27" t="s">
        <v>29</v>
      </c>
      <c r="D2" s="8" t="s">
        <v>110</v>
      </c>
      <c r="E2" s="8" t="s">
        <v>110</v>
      </c>
    </row>
    <row r="3" spans="1:5" x14ac:dyDescent="0.45">
      <c r="A3" s="8" t="s">
        <v>135</v>
      </c>
      <c r="B3" s="8" t="s">
        <v>121</v>
      </c>
      <c r="C3" s="27" t="s">
        <v>29</v>
      </c>
      <c r="D3" s="8" t="s">
        <v>111</v>
      </c>
      <c r="E3" s="8" t="s">
        <v>111</v>
      </c>
    </row>
    <row r="4" spans="1:5" x14ac:dyDescent="0.45">
      <c r="A4" s="8" t="s">
        <v>108</v>
      </c>
      <c r="B4" s="8" t="s">
        <v>121</v>
      </c>
      <c r="C4" s="27" t="s">
        <v>29</v>
      </c>
      <c r="D4" s="8" t="s">
        <v>112</v>
      </c>
      <c r="E4" s="8" t="s">
        <v>112</v>
      </c>
    </row>
    <row r="5" spans="1:5" x14ac:dyDescent="0.45">
      <c r="A5" s="8" t="s">
        <v>109</v>
      </c>
      <c r="B5" s="8" t="s">
        <v>77</v>
      </c>
      <c r="C5" s="27" t="s">
        <v>29</v>
      </c>
      <c r="D5" s="8" t="s">
        <v>113</v>
      </c>
      <c r="E5" s="8" t="s">
        <v>113</v>
      </c>
    </row>
    <row r="6" spans="1:5" x14ac:dyDescent="0.45">
      <c r="A6" s="8" t="s">
        <v>118</v>
      </c>
      <c r="B6" s="8" t="s">
        <v>14</v>
      </c>
      <c r="C6" s="27" t="s">
        <v>29</v>
      </c>
      <c r="D6" s="8" t="s">
        <v>117</v>
      </c>
      <c r="E6" s="8" t="s">
        <v>117</v>
      </c>
    </row>
    <row r="7" spans="1:5" x14ac:dyDescent="0.45">
      <c r="A7" s="8" t="s">
        <v>474</v>
      </c>
      <c r="B7" s="8" t="s">
        <v>120</v>
      </c>
      <c r="C7" s="8" t="s">
        <v>475</v>
      </c>
      <c r="D7" s="8" t="s">
        <v>476</v>
      </c>
      <c r="E7" s="8" t="s">
        <v>476</v>
      </c>
    </row>
    <row r="8" spans="1:5" x14ac:dyDescent="0.45">
      <c r="A8" s="8" t="s">
        <v>152</v>
      </c>
      <c r="B8" s="8" t="s">
        <v>14</v>
      </c>
      <c r="C8" s="8" t="s">
        <v>138</v>
      </c>
      <c r="D8" s="8" t="s">
        <v>116</v>
      </c>
      <c r="E8" s="8" t="s">
        <v>116</v>
      </c>
    </row>
    <row r="9" spans="1:5" ht="28.5" x14ac:dyDescent="0.45">
      <c r="A9" s="6" t="s">
        <v>141</v>
      </c>
      <c r="B9" s="8" t="s">
        <v>120</v>
      </c>
      <c r="C9" s="8" t="s">
        <v>142</v>
      </c>
      <c r="D9" s="8" t="s">
        <v>143</v>
      </c>
      <c r="E9" s="8" t="s">
        <v>477</v>
      </c>
    </row>
    <row r="10" spans="1:5" ht="28.5" x14ac:dyDescent="0.45">
      <c r="A10" s="6" t="s">
        <v>149</v>
      </c>
      <c r="B10" s="8" t="s">
        <v>120</v>
      </c>
      <c r="C10" s="27" t="s">
        <v>131</v>
      </c>
      <c r="D10" s="8" t="s">
        <v>127</v>
      </c>
      <c r="E10" s="8" t="s">
        <v>126</v>
      </c>
    </row>
    <row r="11" spans="1:5" ht="28.5" x14ac:dyDescent="0.45">
      <c r="A11" s="8" t="s">
        <v>478</v>
      </c>
      <c r="B11" s="8" t="s">
        <v>120</v>
      </c>
      <c r="C11" s="6" t="s">
        <v>480</v>
      </c>
      <c r="D11" s="8" t="s">
        <v>479</v>
      </c>
      <c r="E11" s="8" t="s">
        <v>481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580CB-20F4-4431-9AC1-C7F103128FA7}">
  <sheetPr>
    <tabColor theme="7" tint="0.59999389629810485"/>
  </sheetPr>
  <dimension ref="A1:H8"/>
  <sheetViews>
    <sheetView topLeftCell="B1" zoomScale="99" zoomScaleNormal="100" workbookViewId="0">
      <selection activeCell="C14" sqref="C14"/>
    </sheetView>
  </sheetViews>
  <sheetFormatPr defaultRowHeight="14.25" x14ac:dyDescent="0.45"/>
  <cols>
    <col min="1" max="1" width="58.06640625" bestFit="1" customWidth="1"/>
    <col min="2" max="2" width="71.86328125" customWidth="1"/>
    <col min="3" max="3" width="24.796875" style="5" customWidth="1"/>
    <col min="4" max="4" width="31.19921875" style="5" customWidth="1"/>
    <col min="5" max="5" width="31.19921875" customWidth="1"/>
    <col min="6" max="6" width="22" customWidth="1"/>
    <col min="7" max="7" width="11.06640625" customWidth="1"/>
    <col min="8" max="8" width="37.53125" style="5" customWidth="1"/>
  </cols>
  <sheetData>
    <row r="1" spans="1:8" s="14" customFormat="1" x14ac:dyDescent="0.45">
      <c r="A1" s="13" t="s">
        <v>0</v>
      </c>
      <c r="B1" s="13" t="s">
        <v>1</v>
      </c>
      <c r="C1" s="15" t="s">
        <v>2</v>
      </c>
      <c r="D1" s="15" t="s">
        <v>3</v>
      </c>
      <c r="E1" s="13" t="s">
        <v>4</v>
      </c>
      <c r="F1" s="13" t="s">
        <v>5</v>
      </c>
      <c r="G1" s="13" t="s">
        <v>6</v>
      </c>
      <c r="H1" s="15" t="s">
        <v>8</v>
      </c>
    </row>
    <row r="2" spans="1:8" ht="28.5" x14ac:dyDescent="0.45">
      <c r="A2" s="7" t="str">
        <f>"http://hl7.eu/fhir/ig/oah/StructureDefinition/"&amp;LogicalModels!$A$3</f>
        <v>http://hl7.eu/fhir/ig/oah/StructureDefinition/SimpleIndicator</v>
      </c>
      <c r="B2" s="7" t="s">
        <v>103</v>
      </c>
      <c r="C2" s="8" t="str">
        <f>SimpleIndicatorOah!A2</f>
        <v>sampleDetails</v>
      </c>
      <c r="D2" s="8" t="str">
        <f>SimpleIndicatorOah!D2</f>
        <v>Sample</v>
      </c>
      <c r="E2" s="8" t="s">
        <v>27</v>
      </c>
      <c r="F2" s="6"/>
      <c r="G2" s="6" t="s">
        <v>7</v>
      </c>
      <c r="H2" s="8" t="s">
        <v>194</v>
      </c>
    </row>
    <row r="3" spans="1:8" x14ac:dyDescent="0.45">
      <c r="A3" s="7" t="str">
        <f>"http://hl7.eu/fhir/ig/oah/StructureDefinition/"&amp;LogicalModels!$A$3</f>
        <v>http://hl7.eu/fhir/ig/oah/StructureDefinition/SimpleIndicator</v>
      </c>
      <c r="B3" s="7" t="s">
        <v>103</v>
      </c>
      <c r="C3" s="8" t="str">
        <f>SimpleIndicatorOah!A2</f>
        <v>sampleDetails</v>
      </c>
      <c r="D3" s="8" t="str">
        <f>SimpleIndicatorOah!D2</f>
        <v>Sample</v>
      </c>
      <c r="E3" s="8" t="s">
        <v>195</v>
      </c>
      <c r="F3" s="6"/>
      <c r="G3" s="6" t="s">
        <v>7</v>
      </c>
      <c r="H3" s="8"/>
    </row>
    <row r="4" spans="1:8" x14ac:dyDescent="0.45">
      <c r="A4" s="7" t="str">
        <f>"http://hl7.eu/fhir/ig/oah/StructureDefinition/"&amp;LogicalModels!$A$3</f>
        <v>http://hl7.eu/fhir/ig/oah/StructureDefinition/SimpleIndicator</v>
      </c>
      <c r="B4" s="7" t="s">
        <v>103</v>
      </c>
      <c r="C4" s="8" t="str">
        <f>SimpleIndicatorOah!A2</f>
        <v>sampleDetails</v>
      </c>
      <c r="D4" s="8" t="str">
        <f>SimpleIndicatorOah!D2</f>
        <v>Sample</v>
      </c>
      <c r="E4" s="8" t="s">
        <v>196</v>
      </c>
      <c r="F4" s="6" t="str">
        <f>""</f>
        <v/>
      </c>
      <c r="G4" s="6" t="s">
        <v>7</v>
      </c>
      <c r="H4" s="8"/>
    </row>
    <row r="5" spans="1:8" x14ac:dyDescent="0.45">
      <c r="A5" s="7" t="str">
        <f>"http://hl7.eu/fhir/ig/oah/StructureDefinition/"&amp;LogicalModels!$A$3</f>
        <v>http://hl7.eu/fhir/ig/oah/StructureDefinition/SimpleIndicator</v>
      </c>
      <c r="B5" s="7" t="s">
        <v>103</v>
      </c>
      <c r="C5" s="8" t="str">
        <f>SimpleIndicatorOah!A3</f>
        <v>type</v>
      </c>
      <c r="D5" s="8" t="str">
        <f>SimpleIndicatorOah!D3</f>
        <v>What is measured</v>
      </c>
      <c r="E5" s="8" t="s">
        <v>197</v>
      </c>
      <c r="F5" s="6" t="str">
        <f>""</f>
        <v/>
      </c>
      <c r="G5" s="6" t="s">
        <v>211</v>
      </c>
      <c r="H5" s="8"/>
    </row>
    <row r="6" spans="1:8" x14ac:dyDescent="0.45">
      <c r="A6" s="7" t="str">
        <f>"http://hl7.eu/fhir/ig/oah/StructureDefinition/"&amp;LogicalModels!$A$3</f>
        <v>http://hl7.eu/fhir/ig/oah/StructureDefinition/SimpleIndicator</v>
      </c>
      <c r="B6" s="7" t="s">
        <v>103</v>
      </c>
      <c r="C6" s="8" t="str">
        <f>SimpleIndicatorOah!A4</f>
        <v>date</v>
      </c>
      <c r="D6" s="8" t="str">
        <f>SimpleIndicatorOah!D4</f>
        <v>Observation date</v>
      </c>
      <c r="E6" s="8" t="s">
        <v>198</v>
      </c>
      <c r="F6" s="6"/>
      <c r="G6" s="6" t="s">
        <v>211</v>
      </c>
      <c r="H6" s="8"/>
    </row>
    <row r="7" spans="1:8" x14ac:dyDescent="0.45">
      <c r="A7" s="7" t="str">
        <f>"http://hl7.eu/fhir/ig/oah/StructureDefinition/"&amp;LogicalModels!$A$3</f>
        <v>http://hl7.eu/fhir/ig/oah/StructureDefinition/SimpleIndicator</v>
      </c>
      <c r="B7" s="7" t="s">
        <v>103</v>
      </c>
      <c r="C7" s="8" t="str">
        <f>SimpleIndicatorOah!A5</f>
        <v>performer[x]</v>
      </c>
      <c r="D7" s="8" t="str">
        <f>SimpleIndicatorOah!D5</f>
        <v>Who made the measure</v>
      </c>
      <c r="E7" s="8" t="s">
        <v>199</v>
      </c>
      <c r="F7" s="6"/>
      <c r="G7" s="6" t="s">
        <v>211</v>
      </c>
      <c r="H7" s="8" t="s">
        <v>200</v>
      </c>
    </row>
    <row r="8" spans="1:8" x14ac:dyDescent="0.45">
      <c r="A8" s="7" t="str">
        <f>"http://hl7.eu/fhir/ig/oah/StructureDefinition/"&amp;LogicalModels!$A$3</f>
        <v>http://hl7.eu/fhir/ig/oah/StructureDefinition/SimpleIndicator</v>
      </c>
      <c r="B8" s="7" t="s">
        <v>103</v>
      </c>
      <c r="C8" s="8" t="str">
        <f>SimpleIndicatorOah!A6</f>
        <v>result[x]</v>
      </c>
      <c r="D8" s="8" t="str">
        <f>SimpleIndicatorOah!D6</f>
        <v>Result</v>
      </c>
      <c r="E8" s="8" t="s">
        <v>28</v>
      </c>
      <c r="F8" s="6"/>
      <c r="G8" s="6" t="s">
        <v>211</v>
      </c>
      <c r="H8" s="8"/>
    </row>
  </sheetData>
  <hyperlinks>
    <hyperlink ref="B2" r:id="rId1" xr:uid="{6C3B6166-ED07-4BA3-A6B6-317118974852}"/>
    <hyperlink ref="A1" r:id="rId2" display="http://hl7.eu/fhir/hdr/StructureDefinition/composition-eu-hdr" xr:uid="{B62B2D10-218E-4A91-B4A9-C4C092E378B9}"/>
    <hyperlink ref="B3:B8" r:id="rId3" display="http://hl7.eu/fhir/ig/oah/StructureDefinition/observation-indicators-oah" xr:uid="{415E9F2B-5922-4C68-8896-FCBAA1B7F4C7}"/>
  </hyperlinks>
  <pageMargins left="0.7" right="0.7" top="0.75" bottom="0.75" header="0.3" footer="0.3"/>
  <pageSetup paperSize="9" orientation="portrait"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17C38-1E9C-4CA8-B026-1EC7F0AF7FE1}">
  <sheetPr>
    <tabColor theme="6" tint="0.79998168889431442"/>
  </sheetPr>
  <dimension ref="A1:E6"/>
  <sheetViews>
    <sheetView zoomScale="99" workbookViewId="0">
      <selection activeCell="C14" sqref="C14"/>
    </sheetView>
  </sheetViews>
  <sheetFormatPr defaultRowHeight="14.25" x14ac:dyDescent="0.45"/>
  <cols>
    <col min="1" max="1" width="20.46484375" customWidth="1"/>
    <col min="2" max="2" width="11.53125" customWidth="1"/>
    <col min="3" max="3" width="33" customWidth="1"/>
    <col min="4" max="4" width="23.33203125" customWidth="1"/>
    <col min="5" max="5" width="35.06640625" customWidth="1"/>
  </cols>
  <sheetData>
    <row r="1" spans="1:5" x14ac:dyDescent="0.45">
      <c r="A1" s="16" t="s">
        <v>9</v>
      </c>
      <c r="B1" s="16" t="s">
        <v>10</v>
      </c>
      <c r="C1" s="16" t="s">
        <v>11</v>
      </c>
      <c r="D1" s="16" t="s">
        <v>12</v>
      </c>
      <c r="E1" s="16" t="s">
        <v>13</v>
      </c>
    </row>
    <row r="2" spans="1:5" ht="28.5" x14ac:dyDescent="0.45">
      <c r="A2" s="6" t="s">
        <v>122</v>
      </c>
      <c r="B2" s="8" t="s">
        <v>120</v>
      </c>
      <c r="C2" s="8" t="s">
        <v>123</v>
      </c>
      <c r="D2" s="8" t="s">
        <v>123</v>
      </c>
      <c r="E2" s="8" t="s">
        <v>129</v>
      </c>
    </row>
    <row r="3" spans="1:5" ht="28.5" x14ac:dyDescent="0.45">
      <c r="A3" s="6" t="s">
        <v>141</v>
      </c>
      <c r="B3" s="8" t="s">
        <v>120</v>
      </c>
      <c r="C3" s="8" t="s">
        <v>142</v>
      </c>
      <c r="D3" s="8" t="s">
        <v>143</v>
      </c>
      <c r="E3" s="8" t="s">
        <v>144</v>
      </c>
    </row>
    <row r="4" spans="1:5" x14ac:dyDescent="0.45">
      <c r="A4" s="6" t="s">
        <v>106</v>
      </c>
      <c r="B4" s="8" t="s">
        <v>121</v>
      </c>
      <c r="C4" s="8" t="s">
        <v>130</v>
      </c>
      <c r="D4" s="8" t="s">
        <v>124</v>
      </c>
      <c r="E4" s="8" t="s">
        <v>124</v>
      </c>
    </row>
    <row r="5" spans="1:5" x14ac:dyDescent="0.45">
      <c r="A5" s="6" t="s">
        <v>151</v>
      </c>
      <c r="B5" s="8" t="s">
        <v>121</v>
      </c>
      <c r="C5" s="8" t="s">
        <v>138</v>
      </c>
      <c r="D5" s="8" t="s">
        <v>125</v>
      </c>
      <c r="E5" s="8" t="s">
        <v>125</v>
      </c>
    </row>
    <row r="6" spans="1:5" ht="28.5" x14ac:dyDescent="0.45">
      <c r="A6" s="6" t="s">
        <v>149</v>
      </c>
      <c r="B6" s="8" t="s">
        <v>120</v>
      </c>
      <c r="C6" s="27" t="s">
        <v>131</v>
      </c>
      <c r="D6" s="8" t="s">
        <v>127</v>
      </c>
      <c r="E6" s="8" t="s">
        <v>126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9AEBD-A9A0-493E-863C-D52F8723986B}">
  <sheetPr>
    <tabColor theme="7" tint="0.59999389629810485"/>
  </sheetPr>
  <dimension ref="A1:H10"/>
  <sheetViews>
    <sheetView topLeftCell="C1" zoomScale="99" zoomScaleNormal="100" workbookViewId="0">
      <selection activeCell="G6" sqref="G6"/>
    </sheetView>
  </sheetViews>
  <sheetFormatPr defaultRowHeight="14.25" x14ac:dyDescent="0.45"/>
  <cols>
    <col min="1" max="1" width="58.06640625" bestFit="1" customWidth="1"/>
    <col min="2" max="2" width="71.86328125" customWidth="1"/>
    <col min="3" max="3" width="76.796875" style="5" customWidth="1"/>
    <col min="4" max="4" width="44.53125" style="5" customWidth="1"/>
    <col min="5" max="5" width="36.19921875" customWidth="1"/>
    <col min="6" max="6" width="22" customWidth="1"/>
    <col min="7" max="7" width="11.06640625" customWidth="1"/>
    <col min="8" max="8" width="37.53125" style="5" customWidth="1"/>
  </cols>
  <sheetData>
    <row r="1" spans="1:8" s="14" customFormat="1" x14ac:dyDescent="0.45">
      <c r="A1" s="13" t="s">
        <v>0</v>
      </c>
      <c r="B1" s="13" t="s">
        <v>1</v>
      </c>
      <c r="C1" s="15" t="s">
        <v>2</v>
      </c>
      <c r="D1" s="15" t="s">
        <v>3</v>
      </c>
      <c r="E1" s="13" t="s">
        <v>4</v>
      </c>
      <c r="F1" s="13" t="s">
        <v>5</v>
      </c>
      <c r="G1" s="13" t="s">
        <v>6</v>
      </c>
      <c r="H1" s="15" t="s">
        <v>8</v>
      </c>
    </row>
    <row r="2" spans="1:8" ht="28.5" x14ac:dyDescent="0.45">
      <c r="A2" s="7" t="str">
        <f>"http://hl7.eu/fhir/ig/oah/StructureDefinition/"&amp;LogicalModels!$A$4</f>
        <v>http://hl7.eu/fhir/ig/oah/StructureDefinition/StructuredIndicator</v>
      </c>
      <c r="B2" s="7" t="s">
        <v>166</v>
      </c>
      <c r="C2" s="8" t="str">
        <f>StructuredIndicatorOah!A2</f>
        <v>sampleDetails</v>
      </c>
      <c r="D2" s="8" t="str">
        <f>StructuredIndicatorOah!D2</f>
        <v>Sample</v>
      </c>
      <c r="E2" s="8" t="s">
        <v>27</v>
      </c>
      <c r="F2" s="6"/>
      <c r="G2" s="6" t="s">
        <v>7</v>
      </c>
      <c r="H2" s="8" t="s">
        <v>194</v>
      </c>
    </row>
    <row r="3" spans="1:8" x14ac:dyDescent="0.45">
      <c r="A3" s="7" t="str">
        <f>"http://hl7.eu/fhir/ig/oah/StructureDefinition/"&amp;LogicalModels!$A$4</f>
        <v>http://hl7.eu/fhir/ig/oah/StructureDefinition/StructuredIndicator</v>
      </c>
      <c r="B3" s="7" t="s">
        <v>166</v>
      </c>
      <c r="C3" s="8" t="str">
        <f>StructuredIndicatorOah!A2</f>
        <v>sampleDetails</v>
      </c>
      <c r="D3" s="8" t="str">
        <f>StructuredIndicatorOah!D2</f>
        <v>Sample</v>
      </c>
      <c r="E3" s="8" t="s">
        <v>195</v>
      </c>
      <c r="F3" s="6"/>
      <c r="G3" s="6" t="s">
        <v>7</v>
      </c>
      <c r="H3" s="8"/>
    </row>
    <row r="4" spans="1:8" x14ac:dyDescent="0.45">
      <c r="A4" s="7" t="str">
        <f>"http://hl7.eu/fhir/ig/oah/StructureDefinition/"&amp;LogicalModels!$A$4</f>
        <v>http://hl7.eu/fhir/ig/oah/StructureDefinition/StructuredIndicator</v>
      </c>
      <c r="B4" s="7" t="s">
        <v>166</v>
      </c>
      <c r="C4" s="8" t="str">
        <f>StructuredIndicatorOah!A2</f>
        <v>sampleDetails</v>
      </c>
      <c r="D4" s="8" t="str">
        <f>StructuredIndicatorOah!D2</f>
        <v>Sample</v>
      </c>
      <c r="E4" s="8" t="s">
        <v>196</v>
      </c>
      <c r="F4" s="6" t="str">
        <f>""</f>
        <v/>
      </c>
      <c r="G4" s="6" t="s">
        <v>7</v>
      </c>
      <c r="H4" s="8"/>
    </row>
    <row r="5" spans="1:8" x14ac:dyDescent="0.45">
      <c r="A5" s="7" t="str">
        <f>"http://hl7.eu/fhir/ig/oah/StructureDefinition/"&amp;LogicalModels!$A$4</f>
        <v>http://hl7.eu/fhir/ig/oah/StructureDefinition/StructuredIndicator</v>
      </c>
      <c r="B5" s="7" t="s">
        <v>166</v>
      </c>
      <c r="C5" s="8" t="str">
        <f>StructuredIndicatorOah!A3</f>
        <v>type</v>
      </c>
      <c r="D5" s="8" t="str">
        <f>StructuredIndicatorOah!D3</f>
        <v>What is measured</v>
      </c>
      <c r="E5" s="8" t="s">
        <v>197</v>
      </c>
      <c r="F5" s="6" t="str">
        <f>""</f>
        <v/>
      </c>
      <c r="G5" s="6" t="s">
        <v>211</v>
      </c>
      <c r="H5" s="8"/>
    </row>
    <row r="6" spans="1:8" x14ac:dyDescent="0.45">
      <c r="A6" s="7" t="str">
        <f>"http://hl7.eu/fhir/ig/oah/StructureDefinition/"&amp;LogicalModels!$A$4</f>
        <v>http://hl7.eu/fhir/ig/oah/StructureDefinition/StructuredIndicator</v>
      </c>
      <c r="B6" s="7" t="s">
        <v>166</v>
      </c>
      <c r="C6" s="8" t="str">
        <f>StructuredIndicatorOah!A4</f>
        <v>date</v>
      </c>
      <c r="D6" s="8" t="str">
        <f>StructuredIndicatorOah!D4</f>
        <v>Observation date</v>
      </c>
      <c r="E6" s="8" t="s">
        <v>198</v>
      </c>
      <c r="F6" s="6"/>
      <c r="G6" s="6" t="s">
        <v>211</v>
      </c>
      <c r="H6" s="8"/>
    </row>
    <row r="7" spans="1:8" x14ac:dyDescent="0.45">
      <c r="A7" s="7" t="str">
        <f>"http://hl7.eu/fhir/ig/oah/StructureDefinition/"&amp;LogicalModels!$A$4</f>
        <v>http://hl7.eu/fhir/ig/oah/StructureDefinition/StructuredIndicator</v>
      </c>
      <c r="B7" s="7" t="s">
        <v>166</v>
      </c>
      <c r="C7" s="8" t="str">
        <f>StructuredIndicatorOah!A5</f>
        <v>performer[x]</v>
      </c>
      <c r="D7" s="8" t="str">
        <f>StructuredIndicatorOah!D5</f>
        <v>Who made the measure</v>
      </c>
      <c r="E7" s="8" t="s">
        <v>199</v>
      </c>
      <c r="F7" s="6"/>
      <c r="G7" s="6" t="s">
        <v>211</v>
      </c>
      <c r="H7" s="8" t="s">
        <v>200</v>
      </c>
    </row>
    <row r="8" spans="1:8" x14ac:dyDescent="0.45">
      <c r="A8" s="7" t="str">
        <f>"http://hl7.eu/fhir/ig/oah/StructureDefinition/"&amp;LogicalModels!$A$4</f>
        <v>http://hl7.eu/fhir/ig/oah/StructureDefinition/StructuredIndicator</v>
      </c>
      <c r="B8" s="7" t="s">
        <v>166</v>
      </c>
      <c r="C8" s="8" t="str">
        <f>StructuredIndicatorOah!A6</f>
        <v>component</v>
      </c>
      <c r="D8" s="8" t="str">
        <f>StructuredIndicatorOah!D6</f>
        <v>Component</v>
      </c>
      <c r="E8" s="8" t="s">
        <v>206</v>
      </c>
      <c r="F8" s="6"/>
      <c r="G8" s="6" t="s">
        <v>7</v>
      </c>
      <c r="H8" s="8"/>
    </row>
    <row r="9" spans="1:8" x14ac:dyDescent="0.45">
      <c r="A9" s="7" t="str">
        <f>"http://hl7.eu/fhir/ig/oah/StructureDefinition/"&amp;LogicalModels!$A$4</f>
        <v>http://hl7.eu/fhir/ig/oah/StructureDefinition/StructuredIndicator</v>
      </c>
      <c r="B9" s="7" t="s">
        <v>166</v>
      </c>
      <c r="C9" s="8" t="str">
        <f>StructuredIndicatorOah!A7</f>
        <v>component.type</v>
      </c>
      <c r="D9" s="8" t="str">
        <f>StructuredIndicatorOah!D7</f>
        <v>What is measured</v>
      </c>
      <c r="E9" s="8" t="s">
        <v>207</v>
      </c>
      <c r="F9" s="6"/>
      <c r="G9" s="6" t="s">
        <v>211</v>
      </c>
      <c r="H9" s="8"/>
    </row>
    <row r="10" spans="1:8" x14ac:dyDescent="0.45">
      <c r="A10" s="7" t="str">
        <f>"http://hl7.eu/fhir/ig/oah/StructureDefinition/"&amp;LogicalModels!$A$4</f>
        <v>http://hl7.eu/fhir/ig/oah/StructureDefinition/StructuredIndicator</v>
      </c>
      <c r="B10" s="7" t="s">
        <v>166</v>
      </c>
      <c r="C10" s="8" t="str">
        <f>StructuredIndicatorOah!A8</f>
        <v>component.result[x]</v>
      </c>
      <c r="D10" s="8" t="str">
        <f>StructuredIndicatorOah!D8</f>
        <v>Result</v>
      </c>
      <c r="E10" s="8" t="s">
        <v>191</v>
      </c>
      <c r="F10" s="6"/>
      <c r="G10" s="6" t="s">
        <v>211</v>
      </c>
      <c r="H10" s="8"/>
    </row>
  </sheetData>
  <hyperlinks>
    <hyperlink ref="A1" r:id="rId1" display="http://hl7.eu/fhir/hdr/StructureDefinition/composition-eu-hdr" xr:uid="{0FD19491-9321-40B7-B0F0-8DD001375ACD}"/>
  </hyperlinks>
  <pageMargins left="0.7" right="0.7" top="0.75" bottom="0.75" header="0.3" footer="0.3"/>
  <pageSetup paperSize="9"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B5A90-6D36-45B7-9347-AA4594F3DFDD}">
  <sheetPr>
    <tabColor theme="6" tint="0.79998168889431442"/>
  </sheetPr>
  <dimension ref="A1:E8"/>
  <sheetViews>
    <sheetView zoomScale="99" workbookViewId="0">
      <selection activeCell="B9" sqref="B9"/>
    </sheetView>
  </sheetViews>
  <sheetFormatPr defaultRowHeight="14.25" x14ac:dyDescent="0.45"/>
  <cols>
    <col min="1" max="1" width="36" customWidth="1"/>
    <col min="2" max="2" width="11.53125" customWidth="1"/>
    <col min="3" max="3" width="36.19921875" customWidth="1"/>
    <col min="4" max="4" width="39.6640625" customWidth="1"/>
    <col min="5" max="5" width="35.06640625" customWidth="1"/>
  </cols>
  <sheetData>
    <row r="1" spans="1:5" x14ac:dyDescent="0.45">
      <c r="A1" s="16" t="s">
        <v>9</v>
      </c>
      <c r="B1" s="16" t="s">
        <v>10</v>
      </c>
      <c r="C1" s="16" t="s">
        <v>11</v>
      </c>
      <c r="D1" s="16" t="s">
        <v>12</v>
      </c>
      <c r="E1" s="16" t="s">
        <v>13</v>
      </c>
    </row>
    <row r="2" spans="1:5" ht="28.5" x14ac:dyDescent="0.45">
      <c r="A2" s="6" t="s">
        <v>122</v>
      </c>
      <c r="B2" s="8" t="s">
        <v>120</v>
      </c>
      <c r="C2" s="8" t="s">
        <v>123</v>
      </c>
      <c r="D2" s="8" t="s">
        <v>123</v>
      </c>
      <c r="E2" s="8" t="s">
        <v>129</v>
      </c>
    </row>
    <row r="3" spans="1:5" ht="28.5" x14ac:dyDescent="0.45">
      <c r="A3" s="6" t="s">
        <v>141</v>
      </c>
      <c r="B3" s="8" t="s">
        <v>120</v>
      </c>
      <c r="C3" s="8" t="s">
        <v>142</v>
      </c>
      <c r="D3" s="8" t="s">
        <v>143</v>
      </c>
      <c r="E3" s="8" t="s">
        <v>144</v>
      </c>
    </row>
    <row r="4" spans="1:5" x14ac:dyDescent="0.45">
      <c r="A4" s="6" t="s">
        <v>106</v>
      </c>
      <c r="B4" s="8" t="s">
        <v>121</v>
      </c>
      <c r="C4" s="8" t="s">
        <v>130</v>
      </c>
      <c r="D4" s="28" t="s">
        <v>124</v>
      </c>
      <c r="E4" s="28" t="s">
        <v>124</v>
      </c>
    </row>
    <row r="5" spans="1:5" x14ac:dyDescent="0.45">
      <c r="A5" s="6" t="s">
        <v>151</v>
      </c>
      <c r="B5" s="8" t="s">
        <v>121</v>
      </c>
      <c r="C5" s="8" t="s">
        <v>138</v>
      </c>
      <c r="D5" s="28" t="s">
        <v>125</v>
      </c>
      <c r="E5" s="28" t="s">
        <v>125</v>
      </c>
    </row>
    <row r="6" spans="1:5" x14ac:dyDescent="0.45">
      <c r="A6" s="29" t="s">
        <v>132</v>
      </c>
      <c r="B6" s="30" t="s">
        <v>121</v>
      </c>
      <c r="C6" s="30" t="s">
        <v>29</v>
      </c>
      <c r="D6" s="31" t="s">
        <v>140</v>
      </c>
      <c r="E6" s="28" t="s">
        <v>134</v>
      </c>
    </row>
    <row r="7" spans="1:5" ht="28.5" x14ac:dyDescent="0.45">
      <c r="A7" s="6" t="s">
        <v>145</v>
      </c>
      <c r="B7" s="8" t="s">
        <v>120</v>
      </c>
      <c r="C7" s="8" t="s">
        <v>142</v>
      </c>
      <c r="D7" s="8" t="s">
        <v>143</v>
      </c>
      <c r="E7" s="8" t="s">
        <v>146</v>
      </c>
    </row>
    <row r="8" spans="1:5" ht="28.5" x14ac:dyDescent="0.45">
      <c r="A8" s="6" t="s">
        <v>150</v>
      </c>
      <c r="B8" s="8" t="s">
        <v>120</v>
      </c>
      <c r="C8" s="27" t="s">
        <v>148</v>
      </c>
      <c r="D8" s="28" t="s">
        <v>127</v>
      </c>
      <c r="E8" s="28" t="s">
        <v>133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AA406-B92E-4F33-947E-7872EDD03684}">
  <sheetPr>
    <tabColor theme="7" tint="0.59999389629810485"/>
  </sheetPr>
  <dimension ref="A1:H12"/>
  <sheetViews>
    <sheetView topLeftCell="B1" zoomScaleNormal="100" workbookViewId="0">
      <selection activeCell="B2" sqref="A2:XFD12"/>
    </sheetView>
  </sheetViews>
  <sheetFormatPr defaultRowHeight="14.25" x14ac:dyDescent="0.45"/>
  <cols>
    <col min="1" max="1" width="58.06640625" bestFit="1" customWidth="1"/>
    <col min="2" max="2" width="71.86328125" customWidth="1"/>
    <col min="3" max="3" width="36" style="5" customWidth="1"/>
    <col min="4" max="4" width="44.53125" style="5" customWidth="1"/>
    <col min="5" max="5" width="36.19921875" customWidth="1"/>
    <col min="6" max="6" width="22" customWidth="1"/>
    <col min="7" max="7" width="11.06640625" customWidth="1"/>
    <col min="8" max="8" width="37.53125" style="5" customWidth="1"/>
  </cols>
  <sheetData>
    <row r="1" spans="1:8" s="14" customFormat="1" x14ac:dyDescent="0.45">
      <c r="A1" s="13" t="s">
        <v>0</v>
      </c>
      <c r="B1" s="13" t="s">
        <v>1</v>
      </c>
      <c r="C1" s="15" t="s">
        <v>2</v>
      </c>
      <c r="D1" s="15" t="s">
        <v>3</v>
      </c>
      <c r="E1" s="13" t="s">
        <v>4</v>
      </c>
      <c r="F1" s="13" t="s">
        <v>5</v>
      </c>
      <c r="G1" s="13" t="s">
        <v>6</v>
      </c>
      <c r="H1" s="15" t="s">
        <v>8</v>
      </c>
    </row>
    <row r="2" spans="1:8" x14ac:dyDescent="0.45">
      <c r="A2" s="7" t="str">
        <f>"http://hl7.eu/fhir/ig/oah/StructureDefinition/"&amp;LogicalModels!$A$5</f>
        <v>http://hl7.eu/fhir/ig/oah/StructureDefinition/Sample</v>
      </c>
      <c r="B2" s="40" t="s">
        <v>299</v>
      </c>
      <c r="C2" s="8" t="str">
        <f>SampleOah!A2</f>
        <v>site</v>
      </c>
      <c r="D2" s="8" t="str">
        <f>SampleOah!D2</f>
        <v>Sampling Site</v>
      </c>
      <c r="E2" s="8" t="s">
        <v>302</v>
      </c>
      <c r="F2" s="6"/>
      <c r="G2" s="6" t="s">
        <v>7</v>
      </c>
      <c r="H2" s="8" t="s">
        <v>306</v>
      </c>
    </row>
    <row r="3" spans="1:8" x14ac:dyDescent="0.45">
      <c r="A3" s="7" t="str">
        <f>"http://hl7.eu/fhir/ig/oah/StructureDefinition/"&amp;LogicalModels!$A$5</f>
        <v>http://hl7.eu/fhir/ig/oah/StructureDefinition/Sample</v>
      </c>
      <c r="B3" s="40" t="s">
        <v>103</v>
      </c>
      <c r="C3" s="8" t="str">
        <f>SampleOah!A2</f>
        <v>site</v>
      </c>
      <c r="D3" s="8" t="str">
        <f>SampleOah!D2</f>
        <v>Sampling Site</v>
      </c>
      <c r="E3" s="8" t="s">
        <v>195</v>
      </c>
      <c r="F3" s="6"/>
      <c r="G3" s="6" t="s">
        <v>7</v>
      </c>
      <c r="H3" s="8"/>
    </row>
    <row r="4" spans="1:8" x14ac:dyDescent="0.45">
      <c r="A4" s="7" t="str">
        <f>"http://hl7.eu/fhir/ig/oah/StructureDefinition/"&amp;LogicalModels!$A$5</f>
        <v>http://hl7.eu/fhir/ig/oah/StructureDefinition/Sample</v>
      </c>
      <c r="B4" s="40" t="s">
        <v>299</v>
      </c>
      <c r="C4" s="27" t="str">
        <f>SampleOah!A6</f>
        <v>site.characteristics</v>
      </c>
      <c r="D4" s="27" t="str">
        <f>SampleOah!D6</f>
        <v>Characteristics</v>
      </c>
      <c r="E4" s="8" t="s">
        <v>301</v>
      </c>
      <c r="F4" s="6"/>
      <c r="G4" s="11" t="s">
        <v>303</v>
      </c>
      <c r="H4" s="8"/>
    </row>
    <row r="5" spans="1:8" x14ac:dyDescent="0.45">
      <c r="A5" s="7" t="str">
        <f>"http://hl7.eu/fhir/ig/oah/StructureDefinition/"&amp;LogicalModels!$A$5</f>
        <v>http://hl7.eu/fhir/ig/oah/StructureDefinition/Sample</v>
      </c>
      <c r="B5" s="40" t="s">
        <v>299</v>
      </c>
      <c r="C5" s="8" t="str">
        <f>SampleOah!A8</f>
        <v>dateOfSampling</v>
      </c>
      <c r="D5" s="8" t="str">
        <f>SampleOah!D8</f>
        <v>Date of Sample</v>
      </c>
      <c r="E5" s="6" t="s">
        <v>304</v>
      </c>
      <c r="F5" s="6"/>
      <c r="G5" s="6" t="s">
        <v>211</v>
      </c>
      <c r="H5" s="8"/>
    </row>
    <row r="6" spans="1:8" x14ac:dyDescent="0.45">
      <c r="A6" s="7" t="str">
        <f>"http://hl7.eu/fhir/ig/oah/StructureDefinition/"&amp;LogicalModels!$A$5</f>
        <v>http://hl7.eu/fhir/ig/oah/StructureDefinition/Sample</v>
      </c>
      <c r="B6" s="40" t="s">
        <v>299</v>
      </c>
      <c r="C6" s="8" t="str">
        <f>SampleOah!A9</f>
        <v>perfomer[x]</v>
      </c>
      <c r="D6" s="8" t="str">
        <f>SampleOah!D9</f>
        <v>Performer</v>
      </c>
      <c r="E6" s="8" t="s">
        <v>305</v>
      </c>
      <c r="F6" s="6"/>
      <c r="G6" s="6" t="s">
        <v>211</v>
      </c>
      <c r="H6" s="8"/>
    </row>
    <row r="7" spans="1:8" x14ac:dyDescent="0.45">
      <c r="A7" s="7" t="str">
        <f>"http://hl7.eu/fhir/ig/oah/StructureDefinition/"&amp;LogicalModels!$A$5</f>
        <v>http://hl7.eu/fhir/ig/oah/StructureDefinition/Sample</v>
      </c>
      <c r="B7" t="s">
        <v>300</v>
      </c>
      <c r="C7" s="8" t="str">
        <f>SampleOah!A2</f>
        <v>site</v>
      </c>
      <c r="D7" s="8" t="str">
        <f>SampleOah!D2</f>
        <v>Sampling Site</v>
      </c>
      <c r="E7" s="6" t="s">
        <v>307</v>
      </c>
      <c r="F7" s="6"/>
      <c r="G7" s="6" t="s">
        <v>7</v>
      </c>
      <c r="H7" s="8"/>
    </row>
    <row r="8" spans="1:8" x14ac:dyDescent="0.45">
      <c r="A8" s="7" t="str">
        <f>"http://hl7.eu/fhir/ig/oah/StructureDefinition/"&amp;LogicalModels!$A$5</f>
        <v>http://hl7.eu/fhir/ig/oah/StructureDefinition/Sample</v>
      </c>
      <c r="B8" t="s">
        <v>300</v>
      </c>
      <c r="C8" s="8" t="str">
        <f>SampleOah!A3</f>
        <v>site.identifier</v>
      </c>
      <c r="D8" s="8" t="str">
        <f>SampleOah!D3</f>
        <v>Site identifier</v>
      </c>
      <c r="E8" s="6" t="s">
        <v>308</v>
      </c>
      <c r="F8" s="6"/>
      <c r="G8" s="6" t="s">
        <v>211</v>
      </c>
      <c r="H8" s="8"/>
    </row>
    <row r="9" spans="1:8" x14ac:dyDescent="0.45">
      <c r="A9" s="7" t="str">
        <f>"http://hl7.eu/fhir/ig/oah/StructureDefinition/"&amp;LogicalModels!$A$5</f>
        <v>http://hl7.eu/fhir/ig/oah/StructureDefinition/Sample</v>
      </c>
      <c r="B9" t="s">
        <v>300</v>
      </c>
      <c r="C9" s="8" t="str">
        <f>SampleOah!A4</f>
        <v>site.name</v>
      </c>
      <c r="D9" s="8" t="str">
        <f>SampleOah!D4</f>
        <v>Site Name</v>
      </c>
      <c r="E9" s="6" t="s">
        <v>309</v>
      </c>
      <c r="F9" s="6"/>
      <c r="G9" s="6" t="s">
        <v>211</v>
      </c>
      <c r="H9" s="8"/>
    </row>
    <row r="10" spans="1:8" x14ac:dyDescent="0.45">
      <c r="A10" s="7" t="str">
        <f>"http://hl7.eu/fhir/ig/oah/StructureDefinition/"&amp;LogicalModels!$A$5</f>
        <v>http://hl7.eu/fhir/ig/oah/StructureDefinition/Sample</v>
      </c>
      <c r="B10" t="s">
        <v>300</v>
      </c>
      <c r="C10" s="8" t="str">
        <f>SampleOah!A5</f>
        <v>site.gps</v>
      </c>
      <c r="D10" s="8" t="str">
        <f>SampleOah!D5</f>
        <v>GPS</v>
      </c>
      <c r="E10" s="6" t="s">
        <v>310</v>
      </c>
      <c r="F10" s="6"/>
      <c r="G10" s="6" t="s">
        <v>211</v>
      </c>
      <c r="H10" s="8"/>
    </row>
    <row r="11" spans="1:8" x14ac:dyDescent="0.45">
      <c r="A11" s="7" t="str">
        <f>"http://hl7.eu/fhir/ig/oah/StructureDefinition/"&amp;LogicalModels!$A$5</f>
        <v>http://hl7.eu/fhir/ig/oah/StructureDefinition/Sample</v>
      </c>
      <c r="B11" t="s">
        <v>300</v>
      </c>
      <c r="C11" s="27" t="str">
        <f>SampleOah!A6</f>
        <v>site.characteristics</v>
      </c>
      <c r="D11" s="27" t="str">
        <f>SampleOah!D6</f>
        <v>Characteristics</v>
      </c>
      <c r="E11" s="6" t="s">
        <v>307</v>
      </c>
      <c r="F11" s="6"/>
      <c r="G11" s="11" t="s">
        <v>303</v>
      </c>
      <c r="H11" s="8"/>
    </row>
    <row r="12" spans="1:8" x14ac:dyDescent="0.45">
      <c r="A12" s="7" t="str">
        <f>"http://hl7.eu/fhir/ig/oah/StructureDefinition/"&amp;LogicalModels!$A$5</f>
        <v>http://hl7.eu/fhir/ig/oah/StructureDefinition/Sample</v>
      </c>
      <c r="B12" t="s">
        <v>300</v>
      </c>
      <c r="C12" s="8" t="str">
        <f>SampleOah!A7</f>
        <v>site.formReference</v>
      </c>
      <c r="D12" s="8" t="str">
        <f>SampleOah!D7</f>
        <v>Form Reference</v>
      </c>
      <c r="E12" s="6" t="s">
        <v>311</v>
      </c>
      <c r="F12" s="6"/>
      <c r="G12" s="6" t="s">
        <v>211</v>
      </c>
      <c r="H12" s="8"/>
    </row>
  </sheetData>
  <hyperlinks>
    <hyperlink ref="A1" r:id="rId1" display="http://hl7.eu/fhir/hdr/StructureDefinition/composition-eu-hdr" xr:uid="{E181CF34-81EF-44E5-98B8-1A9E617A5F12}"/>
  </hyperlinks>
  <pageMargins left="0.7" right="0.7" top="0.75" bottom="0.75" header="0.3" footer="0.3"/>
  <pageSetup paperSize="9" orientation="portrait"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1E018-F3BA-4B95-9856-259080B6D3DC}">
  <sheetPr>
    <tabColor theme="6" tint="0.79998168889431442"/>
  </sheetPr>
  <dimension ref="A1:E9"/>
  <sheetViews>
    <sheetView zoomScale="99" workbookViewId="0">
      <selection activeCell="A2" sqref="A2:XFD9"/>
    </sheetView>
  </sheetViews>
  <sheetFormatPr defaultRowHeight="14.25" x14ac:dyDescent="0.45"/>
  <cols>
    <col min="1" max="1" width="35.6640625" customWidth="1"/>
    <col min="2" max="2" width="11.53125" customWidth="1"/>
    <col min="3" max="3" width="36.19921875" customWidth="1"/>
    <col min="4" max="4" width="39.6640625" customWidth="1"/>
    <col min="5" max="5" width="35.06640625" customWidth="1"/>
  </cols>
  <sheetData>
    <row r="1" spans="1:5" x14ac:dyDescent="0.45">
      <c r="A1" s="16" t="s">
        <v>9</v>
      </c>
      <c r="B1" s="16" t="s">
        <v>10</v>
      </c>
      <c r="C1" s="16" t="s">
        <v>11</v>
      </c>
      <c r="D1" s="16" t="s">
        <v>12</v>
      </c>
      <c r="E1" s="16" t="s">
        <v>13</v>
      </c>
    </row>
    <row r="2" spans="1:5" x14ac:dyDescent="0.45">
      <c r="A2" s="8" t="s">
        <v>107</v>
      </c>
      <c r="B2" s="8" t="s">
        <v>120</v>
      </c>
      <c r="C2" s="27" t="s">
        <v>29</v>
      </c>
      <c r="D2" s="8" t="s">
        <v>110</v>
      </c>
      <c r="E2" s="8" t="s">
        <v>110</v>
      </c>
    </row>
    <row r="3" spans="1:5" x14ac:dyDescent="0.45">
      <c r="A3" s="8" t="s">
        <v>135</v>
      </c>
      <c r="B3" s="8" t="s">
        <v>121</v>
      </c>
      <c r="C3" s="27" t="s">
        <v>29</v>
      </c>
      <c r="D3" s="28" t="s">
        <v>111</v>
      </c>
      <c r="E3" s="28" t="s">
        <v>111</v>
      </c>
    </row>
    <row r="4" spans="1:5" x14ac:dyDescent="0.45">
      <c r="A4" s="8" t="s">
        <v>108</v>
      </c>
      <c r="B4" s="8" t="s">
        <v>121</v>
      </c>
      <c r="C4" s="27" t="s">
        <v>29</v>
      </c>
      <c r="D4" s="28" t="s">
        <v>112</v>
      </c>
      <c r="E4" s="28" t="s">
        <v>112</v>
      </c>
    </row>
    <row r="5" spans="1:5" x14ac:dyDescent="0.45">
      <c r="A5" s="8" t="s">
        <v>109</v>
      </c>
      <c r="B5" s="8" t="s">
        <v>77</v>
      </c>
      <c r="C5" s="27" t="s">
        <v>29</v>
      </c>
      <c r="D5" s="28" t="s">
        <v>113</v>
      </c>
      <c r="E5" s="28" t="s">
        <v>113</v>
      </c>
    </row>
    <row r="6" spans="1:5" x14ac:dyDescent="0.45">
      <c r="A6" s="8" t="s">
        <v>118</v>
      </c>
      <c r="B6" s="8" t="s">
        <v>14</v>
      </c>
      <c r="C6" s="27" t="s">
        <v>29</v>
      </c>
      <c r="D6" s="28" t="s">
        <v>117</v>
      </c>
      <c r="E6" s="28" t="s">
        <v>117</v>
      </c>
    </row>
    <row r="7" spans="1:5" ht="28.5" x14ac:dyDescent="0.45">
      <c r="A7" s="8" t="s">
        <v>136</v>
      </c>
      <c r="B7" s="8" t="s">
        <v>14</v>
      </c>
      <c r="C7" s="8" t="s">
        <v>139</v>
      </c>
      <c r="D7" s="28" t="s">
        <v>119</v>
      </c>
      <c r="E7" s="28" t="s">
        <v>137</v>
      </c>
    </row>
    <row r="8" spans="1:5" x14ac:dyDescent="0.45">
      <c r="A8" s="8" t="s">
        <v>114</v>
      </c>
      <c r="B8" s="8" t="s">
        <v>120</v>
      </c>
      <c r="C8" s="8" t="s">
        <v>130</v>
      </c>
      <c r="D8" s="28" t="s">
        <v>115</v>
      </c>
      <c r="E8" s="28" t="s">
        <v>115</v>
      </c>
    </row>
    <row r="9" spans="1:5" x14ac:dyDescent="0.45">
      <c r="A9" s="8" t="s">
        <v>152</v>
      </c>
      <c r="B9" s="8" t="s">
        <v>14</v>
      </c>
      <c r="C9" s="8" t="s">
        <v>138</v>
      </c>
      <c r="D9" s="28" t="s">
        <v>116</v>
      </c>
      <c r="E9" s="28" t="s">
        <v>116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65734-ACDE-47B2-B42F-1DEF5E63BE43}">
  <sheetPr>
    <tabColor theme="7" tint="0.59999389629810485"/>
  </sheetPr>
  <dimension ref="A1:H25"/>
  <sheetViews>
    <sheetView zoomScaleNormal="100" workbookViewId="0"/>
  </sheetViews>
  <sheetFormatPr defaultRowHeight="14.25" x14ac:dyDescent="0.45"/>
  <cols>
    <col min="1" max="1" width="58.06640625" bestFit="1" customWidth="1"/>
    <col min="2" max="2" width="71.86328125" customWidth="1"/>
    <col min="3" max="3" width="36" style="5" customWidth="1"/>
    <col min="4" max="4" width="44.53125" style="5" customWidth="1"/>
    <col min="5" max="5" width="36.19921875" customWidth="1"/>
    <col min="6" max="6" width="22" customWidth="1"/>
    <col min="7" max="7" width="11.06640625" customWidth="1"/>
    <col min="8" max="8" width="37.53125" style="5" customWidth="1"/>
  </cols>
  <sheetData>
    <row r="1" spans="1:8" s="14" customFormat="1" x14ac:dyDescent="0.45">
      <c r="A1" s="13" t="s">
        <v>0</v>
      </c>
      <c r="B1" s="13" t="s">
        <v>1</v>
      </c>
      <c r="C1" s="15" t="s">
        <v>2</v>
      </c>
      <c r="D1" s="15" t="s">
        <v>3</v>
      </c>
      <c r="E1" s="13" t="s">
        <v>4</v>
      </c>
      <c r="F1" s="13" t="s">
        <v>5</v>
      </c>
      <c r="G1" s="13" t="s">
        <v>6</v>
      </c>
      <c r="H1" s="15" t="s">
        <v>8</v>
      </c>
    </row>
    <row r="2" spans="1:8" ht="28.5" x14ac:dyDescent="0.45">
      <c r="A2" s="7" t="str">
        <f>"http://hl7.eu/fhir/ig/oah/StructureDefinition/"&amp;LogicalModels!$A$6</f>
        <v>http://hl7.eu/fhir/ig/oah/StructureDefinition/DataSet</v>
      </c>
      <c r="B2" s="7" t="s">
        <v>258</v>
      </c>
      <c r="C2" s="8" t="str">
        <f>DataSetOah!A2</f>
        <v>pid</v>
      </c>
      <c r="D2" s="8" t="str">
        <f>DataSetOah!D2</f>
        <v>globally uniqu,  persistent and resolvable identifier</v>
      </c>
      <c r="E2" s="8" t="s">
        <v>259</v>
      </c>
      <c r="F2" s="6"/>
      <c r="G2" s="6" t="s">
        <v>7</v>
      </c>
      <c r="H2" s="8" t="s">
        <v>194</v>
      </c>
    </row>
    <row r="3" spans="1:8" x14ac:dyDescent="0.45">
      <c r="A3" s="7" t="str">
        <f>"http://hl7.eu/fhir/ig/oah/StructureDefinition/"&amp;LogicalModels!$A$6</f>
        <v>http://hl7.eu/fhir/ig/oah/StructureDefinition/DataSet</v>
      </c>
      <c r="B3" s="7" t="s">
        <v>258</v>
      </c>
      <c r="C3" s="8" t="str">
        <f>DataSetOah!A3</f>
        <v>title</v>
      </c>
      <c r="D3" s="8" t="str">
        <f>DataSetOah!D3</f>
        <v>Data set title</v>
      </c>
      <c r="E3" s="8" t="s">
        <v>260</v>
      </c>
      <c r="F3" s="6"/>
      <c r="G3" s="6" t="s">
        <v>7</v>
      </c>
      <c r="H3" s="8"/>
    </row>
    <row r="4" spans="1:8" x14ac:dyDescent="0.45">
      <c r="A4" s="7" t="str">
        <f>"http://hl7.eu/fhir/ig/oah/StructureDefinition/"&amp;LogicalModels!$A$6</f>
        <v>http://hl7.eu/fhir/ig/oah/StructureDefinition/DataSet</v>
      </c>
      <c r="B4" s="7" t="s">
        <v>258</v>
      </c>
      <c r="C4" s="8" t="str">
        <f>DataSetOah!A4</f>
        <v>description</v>
      </c>
      <c r="D4" s="8" t="str">
        <f>DataSetOah!D4</f>
        <v>Data set desxription</v>
      </c>
      <c r="E4" s="8" t="s">
        <v>262</v>
      </c>
      <c r="F4" s="6" t="str">
        <f>""</f>
        <v/>
      </c>
      <c r="G4" s="6" t="s">
        <v>7</v>
      </c>
      <c r="H4" s="8"/>
    </row>
    <row r="5" spans="1:8" x14ac:dyDescent="0.45">
      <c r="A5" s="7" t="str">
        <f>"http://hl7.eu/fhir/ig/oah/StructureDefinition/"&amp;LogicalModels!$A$6</f>
        <v>http://hl7.eu/fhir/ig/oah/StructureDefinition/DataSet</v>
      </c>
      <c r="B5" s="7" t="s">
        <v>258</v>
      </c>
      <c r="C5" s="8" t="str">
        <f>DataSetOah!A5</f>
        <v>version</v>
      </c>
      <c r="D5" s="8" t="str">
        <f>DataSetOah!D5</f>
        <v>Data set version</v>
      </c>
      <c r="E5" s="8" t="s">
        <v>263</v>
      </c>
      <c r="F5" s="6" t="str">
        <f>""</f>
        <v/>
      </c>
      <c r="G5" s="6" t="s">
        <v>7</v>
      </c>
      <c r="H5" s="8"/>
    </row>
    <row r="6" spans="1:8" x14ac:dyDescent="0.45">
      <c r="A6" s="7" t="str">
        <f>"http://hl7.eu/fhir/ig/oah/StructureDefinition/"&amp;LogicalModels!$A$6</f>
        <v>http://hl7.eu/fhir/ig/oah/StructureDefinition/DataSet</v>
      </c>
      <c r="B6" s="7" t="s">
        <v>258</v>
      </c>
      <c r="C6" s="8" t="str">
        <f>DataSetOah!A6</f>
        <v>type</v>
      </c>
      <c r="D6" s="8" t="str">
        <f>DataSetOah!D6</f>
        <v>Data Set type</v>
      </c>
      <c r="E6" s="8" t="s">
        <v>264</v>
      </c>
      <c r="F6" s="6"/>
      <c r="G6" s="6" t="s">
        <v>7</v>
      </c>
      <c r="H6" s="8"/>
    </row>
    <row r="7" spans="1:8" x14ac:dyDescent="0.45">
      <c r="A7" s="7" t="str">
        <f>"http://hl7.eu/fhir/ig/oah/StructureDefinition/"&amp;LogicalModels!$A$6</f>
        <v>http://hl7.eu/fhir/ig/oah/StructureDefinition/DataSet</v>
      </c>
      <c r="B7" s="7" t="s">
        <v>258</v>
      </c>
      <c r="C7" s="8" t="str">
        <f>DataSetOah!A7</f>
        <v>contact</v>
      </c>
      <c r="D7" s="8" t="str">
        <f>DataSetOah!D7</f>
        <v>Contact details</v>
      </c>
      <c r="E7" s="8" t="s">
        <v>265</v>
      </c>
      <c r="F7" s="6"/>
      <c r="G7" s="6" t="s">
        <v>7</v>
      </c>
      <c r="H7" s="8" t="s">
        <v>200</v>
      </c>
    </row>
    <row r="8" spans="1:8" x14ac:dyDescent="0.45">
      <c r="A8" s="7" t="str">
        <f>"http://hl7.eu/fhir/ig/oah/StructureDefinition/"&amp;LogicalModels!$A$6</f>
        <v>http://hl7.eu/fhir/ig/oah/StructureDefinition/DataSet</v>
      </c>
      <c r="B8" s="7" t="s">
        <v>258</v>
      </c>
      <c r="C8" s="8" t="str">
        <f>DataSetOah!A8</f>
        <v>publisher</v>
      </c>
      <c r="D8" s="8" t="str">
        <f>DataSetOah!D8</f>
        <v>Data Set publisher</v>
      </c>
      <c r="E8" s="8" t="s">
        <v>266</v>
      </c>
      <c r="F8" s="6"/>
      <c r="G8" s="6" t="s">
        <v>7</v>
      </c>
      <c r="H8" s="8"/>
    </row>
    <row r="9" spans="1:8" x14ac:dyDescent="0.45">
      <c r="A9" s="7" t="str">
        <f>"http://hl7.eu/fhir/ig/oah/StructureDefinition/"&amp;LogicalModels!$A$6</f>
        <v>http://hl7.eu/fhir/ig/oah/StructureDefinition/DataSet</v>
      </c>
      <c r="B9" s="7" t="s">
        <v>258</v>
      </c>
      <c r="C9" s="8" t="str">
        <f>DataSetOah!A9</f>
        <v>author</v>
      </c>
      <c r="D9" s="8" t="str">
        <f>DataSetOah!D9</f>
        <v>Data Set Author(s)</v>
      </c>
      <c r="E9" s="38" t="s">
        <v>267</v>
      </c>
      <c r="G9" s="39" t="s">
        <v>7</v>
      </c>
    </row>
    <row r="10" spans="1:8" x14ac:dyDescent="0.45">
      <c r="A10" s="7" t="str">
        <f>"http://hl7.eu/fhir/ig/oah/StructureDefinition/"&amp;LogicalModels!$A$6</f>
        <v>http://hl7.eu/fhir/ig/oah/StructureDefinition/DataSet</v>
      </c>
      <c r="B10" s="7" t="s">
        <v>258</v>
      </c>
      <c r="C10" s="8" t="str">
        <f>DataSetOah!A10</f>
        <v>date</v>
      </c>
      <c r="D10" s="8" t="str">
        <f>DataSetOah!D10</f>
        <v>Data set Date</v>
      </c>
      <c r="E10" s="8" t="s">
        <v>268</v>
      </c>
      <c r="F10" s="6"/>
      <c r="G10" s="6" t="s">
        <v>7</v>
      </c>
      <c r="H10" s="8"/>
    </row>
    <row r="11" spans="1:8" x14ac:dyDescent="0.45">
      <c r="A11" s="7" t="str">
        <f>"http://hl7.eu/fhir/ig/oah/StructureDefinition/"&amp;LogicalModels!$A$6</f>
        <v>http://hl7.eu/fhir/ig/oah/StructureDefinition/DataSet</v>
      </c>
      <c r="B11" s="7" t="s">
        <v>258</v>
      </c>
      <c r="C11" s="8" t="str">
        <f>DataSetOah!A11</f>
        <v>dateOfApproval</v>
      </c>
      <c r="D11" s="8" t="str">
        <f>DataSetOah!D11</f>
        <v>Date of approval</v>
      </c>
      <c r="E11" s="8" t="s">
        <v>278</v>
      </c>
      <c r="F11" s="6"/>
      <c r="G11" s="6" t="s">
        <v>7</v>
      </c>
      <c r="H11" s="8"/>
    </row>
    <row r="12" spans="1:8" x14ac:dyDescent="0.45">
      <c r="A12" s="7" t="str">
        <f>"http://hl7.eu/fhir/ig/oah/StructureDefinition/"&amp;LogicalModels!$A$6</f>
        <v>http://hl7.eu/fhir/ig/oah/StructureDefinition/DataSet</v>
      </c>
      <c r="B12" s="7" t="s">
        <v>258</v>
      </c>
      <c r="C12" s="8" t="str">
        <f>DataSetOah!A12</f>
        <v>dateOfReview</v>
      </c>
      <c r="D12" s="8" t="str">
        <f>DataSetOah!D12</f>
        <v>Date of last review</v>
      </c>
      <c r="E12" s="8" t="s">
        <v>269</v>
      </c>
      <c r="F12" s="6"/>
      <c r="G12" s="6" t="s">
        <v>7</v>
      </c>
      <c r="H12" s="8"/>
    </row>
    <row r="13" spans="1:8" x14ac:dyDescent="0.45">
      <c r="A13" s="7" t="str">
        <f>"http://hl7.eu/fhir/ig/oah/StructureDefinition/"&amp;LogicalModels!$A$6</f>
        <v>http://hl7.eu/fhir/ig/oah/StructureDefinition/DataSet</v>
      </c>
      <c r="B13" s="7" t="s">
        <v>258</v>
      </c>
      <c r="C13" s="8" t="str">
        <f>DataSetOah!A13</f>
        <v>licence</v>
      </c>
      <c r="D13" s="8" t="str">
        <f>DataSetOah!D13</f>
        <v>licence information</v>
      </c>
      <c r="E13" s="8" t="s">
        <v>279</v>
      </c>
      <c r="F13" s="6"/>
      <c r="G13" s="6" t="s">
        <v>7</v>
      </c>
      <c r="H13" s="8"/>
    </row>
    <row r="14" spans="1:8" x14ac:dyDescent="0.45">
      <c r="A14" s="7" t="str">
        <f>"http://hl7.eu/fhir/ig/oah/StructureDefinition/"&amp;LogicalModels!$A$6</f>
        <v>http://hl7.eu/fhir/ig/oah/StructureDefinition/DataSet</v>
      </c>
      <c r="B14" s="7" t="s">
        <v>258</v>
      </c>
      <c r="C14" s="8" t="str">
        <f>DataSetOah!A14</f>
        <v>copyright</v>
      </c>
      <c r="D14" s="8" t="str">
        <f>DataSetOah!D14</f>
        <v>Data set copyright</v>
      </c>
      <c r="E14" s="8" t="s">
        <v>283</v>
      </c>
      <c r="F14" s="6"/>
      <c r="G14" s="6" t="s">
        <v>7</v>
      </c>
      <c r="H14" s="8"/>
    </row>
    <row r="15" spans="1:8" x14ac:dyDescent="0.45">
      <c r="A15" s="7" t="str">
        <f>"http://hl7.eu/fhir/ig/oah/StructureDefinition/"&amp;LogicalModels!$A$6</f>
        <v>http://hl7.eu/fhir/ig/oah/StructureDefinition/DataSet</v>
      </c>
      <c r="B15" s="7" t="s">
        <v>258</v>
      </c>
      <c r="C15" s="8" t="str">
        <f>DataSetOah!A14</f>
        <v>copyright</v>
      </c>
      <c r="D15" s="8" t="str">
        <f>DataSetOah!D14</f>
        <v>Data set copyright</v>
      </c>
      <c r="E15" s="8" t="s">
        <v>261</v>
      </c>
      <c r="F15" s="6"/>
      <c r="G15" s="6" t="s">
        <v>7</v>
      </c>
      <c r="H15" s="8"/>
    </row>
    <row r="16" spans="1:8" x14ac:dyDescent="0.45">
      <c r="A16" s="7" t="str">
        <f>"http://hl7.eu/fhir/ig/oah/StructureDefinition/"&amp;LogicalModels!$A$6</f>
        <v>http://hl7.eu/fhir/ig/oah/StructureDefinition/DataSet</v>
      </c>
      <c r="B16" s="7" t="s">
        <v>258</v>
      </c>
      <c r="C16" s="8" t="str">
        <f>DataSetOah!A15</f>
        <v>size</v>
      </c>
      <c r="D16" s="8" t="str">
        <f>DataSetOah!D15</f>
        <v>Data set size</v>
      </c>
      <c r="E16" s="8" t="s">
        <v>280</v>
      </c>
      <c r="F16" s="6"/>
      <c r="G16" s="6" t="s">
        <v>7</v>
      </c>
      <c r="H16" s="8"/>
    </row>
    <row r="17" spans="1:8" x14ac:dyDescent="0.45">
      <c r="A17" s="7" t="str">
        <f>"http://hl7.eu/fhir/ig/oah/StructureDefinition/"&amp;LogicalModels!$A$6</f>
        <v>http://hl7.eu/fhir/ig/oah/StructureDefinition/DataSet</v>
      </c>
      <c r="B17" s="7" t="s">
        <v>258</v>
      </c>
      <c r="C17" s="8" t="str">
        <f>DataSetOah!A16</f>
        <v>numberOfRecords</v>
      </c>
      <c r="D17" s="8" t="str">
        <f>DataSetOah!D16</f>
        <v>Number of records</v>
      </c>
      <c r="E17" s="9" t="s">
        <v>281</v>
      </c>
      <c r="F17" s="6"/>
      <c r="G17" s="6" t="s">
        <v>7</v>
      </c>
      <c r="H17" s="8"/>
    </row>
    <row r="18" spans="1:8" x14ac:dyDescent="0.45">
      <c r="A18" s="7" t="str">
        <f>"http://hl7.eu/fhir/ig/oah/StructureDefinition/"&amp;LogicalModels!$A$6</f>
        <v>http://hl7.eu/fhir/ig/oah/StructureDefinition/DataSet</v>
      </c>
      <c r="B18" s="7" t="s">
        <v>258</v>
      </c>
      <c r="C18" s="8" t="str">
        <f>DataSetOah!A17</f>
        <v>record</v>
      </c>
      <c r="D18" s="8" t="str">
        <f>DataSetOah!D17</f>
        <v>record in the dat set</v>
      </c>
      <c r="E18" s="6" t="s">
        <v>282</v>
      </c>
      <c r="F18" s="6"/>
      <c r="G18" s="6" t="s">
        <v>7</v>
      </c>
      <c r="H18" s="8"/>
    </row>
    <row r="19" spans="1:8" x14ac:dyDescent="0.45">
      <c r="A19" s="7" t="str">
        <f>"http://hl7.eu/fhir/ig/oah/StructureDefinition/"&amp;LogicalModels!$A$6</f>
        <v>http://hl7.eu/fhir/ig/oah/StructureDefinition/DataSet</v>
      </c>
      <c r="B19" s="7" t="s">
        <v>284</v>
      </c>
      <c r="C19" s="8" t="str">
        <f>DataSetOah!A18</f>
        <v>record.title</v>
      </c>
      <c r="D19" s="8" t="str">
        <f>DataSetOah!D18</f>
        <v>Title</v>
      </c>
      <c r="E19" s="8" t="s">
        <v>285</v>
      </c>
      <c r="F19" s="6"/>
      <c r="G19" s="6" t="s">
        <v>7</v>
      </c>
      <c r="H19" s="8"/>
    </row>
    <row r="20" spans="1:8" x14ac:dyDescent="0.45">
      <c r="A20" s="7" t="str">
        <f>"http://hl7.eu/fhir/ig/oah/StructureDefinition/"&amp;LogicalModels!$A$6</f>
        <v>http://hl7.eu/fhir/ig/oah/StructureDefinition/DataSet</v>
      </c>
      <c r="B20" s="7" t="s">
        <v>284</v>
      </c>
      <c r="C20" s="8" t="str">
        <f>DataSetOah!A19</f>
        <v>record.format</v>
      </c>
      <c r="D20" s="8" t="str">
        <f>DataSetOah!D19</f>
        <v>Format</v>
      </c>
      <c r="E20" s="8" t="s">
        <v>286</v>
      </c>
      <c r="F20" s="6"/>
      <c r="G20" s="6" t="s">
        <v>7</v>
      </c>
      <c r="H20" s="8" t="s">
        <v>292</v>
      </c>
    </row>
    <row r="21" spans="1:8" x14ac:dyDescent="0.45">
      <c r="A21" s="7" t="str">
        <f>"http://hl7.eu/fhir/ig/oah/StructureDefinition/"&amp;LogicalModels!$A$6</f>
        <v>http://hl7.eu/fhir/ig/oah/StructureDefinition/DataSet</v>
      </c>
      <c r="B21" s="7" t="s">
        <v>284</v>
      </c>
      <c r="C21" s="8" t="str">
        <f>DataSetOah!A20</f>
        <v>record.link</v>
      </c>
      <c r="D21" s="8" t="str">
        <f>DataSetOah!D20</f>
        <v>Link</v>
      </c>
      <c r="E21" s="8" t="s">
        <v>287</v>
      </c>
      <c r="F21" s="6"/>
      <c r="G21" s="6" t="s">
        <v>7</v>
      </c>
      <c r="H21" s="8"/>
    </row>
    <row r="22" spans="1:8" x14ac:dyDescent="0.45">
      <c r="A22" s="7" t="str">
        <f>"http://hl7.eu/fhir/ig/oah/StructureDefinition/"&amp;LogicalModels!$A$6</f>
        <v>http://hl7.eu/fhir/ig/oah/StructureDefinition/DataSet</v>
      </c>
      <c r="B22" s="7" t="s">
        <v>284</v>
      </c>
      <c r="C22" s="8" t="str">
        <f>DataSetOah!A21</f>
        <v>record.size</v>
      </c>
      <c r="D22" s="8" t="str">
        <f>DataSetOah!D21</f>
        <v>Size</v>
      </c>
      <c r="E22" s="8" t="s">
        <v>288</v>
      </c>
      <c r="F22" s="6"/>
      <c r="G22" s="6" t="s">
        <v>7</v>
      </c>
      <c r="H22" s="8"/>
    </row>
    <row r="23" spans="1:8" x14ac:dyDescent="0.45">
      <c r="A23" s="7" t="str">
        <f>"http://hl7.eu/fhir/ig/oah/StructureDefinition/"&amp;LogicalModels!$A$6</f>
        <v>http://hl7.eu/fhir/ig/oah/StructureDefinition/DataSet</v>
      </c>
      <c r="B23" s="7" t="s">
        <v>258</v>
      </c>
      <c r="C23" s="8" t="str">
        <f>DataSetOah!A19</f>
        <v>record.format</v>
      </c>
      <c r="D23" s="8" t="str">
        <f>DataSetOah!D19</f>
        <v>Format</v>
      </c>
      <c r="E23" s="6" t="s">
        <v>289</v>
      </c>
      <c r="F23" s="6"/>
      <c r="G23" s="6" t="s">
        <v>7</v>
      </c>
      <c r="H23" s="8"/>
    </row>
    <row r="24" spans="1:8" x14ac:dyDescent="0.45">
      <c r="A24" s="7" t="str">
        <f>"http://hl7.eu/fhir/ig/oah/StructureDefinition/"&amp;LogicalModels!$A$6</f>
        <v>http://hl7.eu/fhir/ig/oah/StructureDefinition/DataSet</v>
      </c>
      <c r="B24" s="1" t="s">
        <v>290</v>
      </c>
      <c r="C24" s="8" t="str">
        <f>DataSetOah!$A$19</f>
        <v>record.format</v>
      </c>
      <c r="D24" s="8" t="str">
        <f>DataSetOah!$D$19</f>
        <v>Format</v>
      </c>
      <c r="E24" s="8" t="s">
        <v>291</v>
      </c>
      <c r="F24" s="6"/>
      <c r="G24" s="6" t="s">
        <v>7</v>
      </c>
      <c r="H24" s="8" t="s">
        <v>293</v>
      </c>
    </row>
    <row r="25" spans="1:8" x14ac:dyDescent="0.45">
      <c r="A25" s="7" t="str">
        <f>"http://hl7.eu/fhir/ig/oah/StructureDefinition/"&amp;LogicalModels!$A$6</f>
        <v>http://hl7.eu/fhir/ig/oah/StructureDefinition/DataSet</v>
      </c>
      <c r="B25" s="1" t="s">
        <v>290</v>
      </c>
      <c r="C25" s="8" t="str">
        <f>DataSetOah!$A$19</f>
        <v>record.format</v>
      </c>
      <c r="D25" s="8" t="str">
        <f>DataSetOah!$D$19</f>
        <v>Format</v>
      </c>
      <c r="E25" s="8" t="s">
        <v>294</v>
      </c>
      <c r="F25" s="6"/>
      <c r="G25" s="6" t="s">
        <v>7</v>
      </c>
      <c r="H25" s="8" t="s">
        <v>295</v>
      </c>
    </row>
  </sheetData>
  <hyperlinks>
    <hyperlink ref="B2" r:id="rId1" xr:uid="{47FEF538-9903-4579-8907-552B82ADBF4B}"/>
    <hyperlink ref="A1" r:id="rId2" display="http://hl7.eu/fhir/hdr/StructureDefinition/composition-eu-hdr" xr:uid="{FE223B46-3231-4611-8C5A-F567329A8FE4}"/>
    <hyperlink ref="B3" r:id="rId3" xr:uid="{F871D7E4-2BEA-4061-89E2-83BCEFCF642C}"/>
    <hyperlink ref="B4" r:id="rId4" xr:uid="{74D8AE9E-8079-4EA3-B55D-F58B2E9A5E21}"/>
    <hyperlink ref="B5" r:id="rId5" xr:uid="{73E8FCEE-0B9A-431D-AE3E-0FF9574FC90B}"/>
    <hyperlink ref="B6" r:id="rId6" xr:uid="{4114E6D3-1FE3-4581-BDC8-02E8EAC4DFD1}"/>
    <hyperlink ref="B7" r:id="rId7" xr:uid="{5FE4EC33-91B3-4B7B-81E3-817CE216EF0E}"/>
    <hyperlink ref="B8" r:id="rId8" xr:uid="{785B1593-5589-48AA-8AA0-53E61440CB52}"/>
    <hyperlink ref="B9" r:id="rId9" xr:uid="{151C0939-1E5A-4543-A6D9-66BE2A94E2F4}"/>
    <hyperlink ref="B10" r:id="rId10" xr:uid="{4851F893-31D5-4CC3-8D63-116BB12C716E}"/>
    <hyperlink ref="B11" r:id="rId11" xr:uid="{77DB0D78-ABE7-4076-9E37-672B7EBD350B}"/>
    <hyperlink ref="B12" r:id="rId12" xr:uid="{BA9CB302-B1E9-4281-BE3D-CF754266A67E}"/>
    <hyperlink ref="B13" r:id="rId13" xr:uid="{D7058A1C-1B7A-4E1F-8B14-177F59E7E426}"/>
    <hyperlink ref="B16" r:id="rId14" xr:uid="{E3B38EBA-1EEC-46EF-BCA6-FB940613EF01}"/>
    <hyperlink ref="B17" r:id="rId15" xr:uid="{E0F0BF46-32E5-4B93-8C35-379E6FF66143}"/>
    <hyperlink ref="B18" r:id="rId16" xr:uid="{9919FA69-6FDC-4A55-BFC8-FAAC3F812F6C}"/>
    <hyperlink ref="B14" r:id="rId17" xr:uid="{ABC091F5-7EEF-4CC8-B0BF-BFA4445E6F4F}"/>
    <hyperlink ref="B15" r:id="rId18" xr:uid="{8FD51299-A2B4-4239-8F23-816C5CCA60C1}"/>
    <hyperlink ref="B23" r:id="rId19" xr:uid="{C38F1375-3278-4B36-87E1-8B806AFCAF15}"/>
    <hyperlink ref="B24" r:id="rId20" location="DataRequirement" display="https://hl7.org/fhir/metadatatypes.html - DataRequirement" xr:uid="{99889319-1CB2-441C-B09B-87C8A83CA30D}"/>
    <hyperlink ref="B25" r:id="rId21" location="DataRequirement" display="https://hl7.org/fhir/metadatatypes.html - DataRequirement" xr:uid="{D8585605-F356-4339-889B-9A8E4F3B393B}"/>
  </hyperlinks>
  <pageMargins left="0.7" right="0.7" top="0.75" bottom="0.75" header="0.3" footer="0.3"/>
  <pageSetup paperSize="9" orientation="portrait" r:id="rId2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B2C70-17A7-40F9-AE47-E4872DBEC665}">
  <sheetPr>
    <tabColor theme="6" tint="0.79998168889431442"/>
  </sheetPr>
  <dimension ref="A1:E21"/>
  <sheetViews>
    <sheetView topLeftCell="A10" zoomScale="99" workbookViewId="0">
      <selection activeCell="A19" sqref="A19:XFD19"/>
    </sheetView>
  </sheetViews>
  <sheetFormatPr defaultRowHeight="14.25" x14ac:dyDescent="0.45"/>
  <cols>
    <col min="1" max="1" width="53.86328125" customWidth="1"/>
    <col min="2" max="2" width="11.53125" customWidth="1"/>
    <col min="3" max="3" width="15.796875" bestFit="1" customWidth="1"/>
    <col min="4" max="4" width="39.6640625" customWidth="1"/>
    <col min="5" max="5" width="35.06640625" customWidth="1"/>
    <col min="6" max="6" width="13.46484375" customWidth="1"/>
  </cols>
  <sheetData>
    <row r="1" spans="1:5" x14ac:dyDescent="0.45">
      <c r="A1" s="2" t="s">
        <v>9</v>
      </c>
      <c r="B1" s="2" t="s">
        <v>10</v>
      </c>
      <c r="C1" s="2" t="s">
        <v>11</v>
      </c>
      <c r="D1" s="2" t="s">
        <v>12</v>
      </c>
      <c r="E1" s="2" t="s">
        <v>13</v>
      </c>
    </row>
    <row r="2" spans="1:5" ht="28.5" x14ac:dyDescent="0.45">
      <c r="A2" s="35" t="s">
        <v>250</v>
      </c>
      <c r="B2" s="6" t="s">
        <v>120</v>
      </c>
      <c r="C2" s="6" t="s">
        <v>215</v>
      </c>
      <c r="D2" s="17" t="s">
        <v>257</v>
      </c>
      <c r="E2" s="17" t="s">
        <v>257</v>
      </c>
    </row>
    <row r="3" spans="1:5" x14ac:dyDescent="0.45">
      <c r="A3" s="35" t="s">
        <v>214</v>
      </c>
      <c r="B3" s="6" t="s">
        <v>77</v>
      </c>
      <c r="C3" s="6" t="s">
        <v>222</v>
      </c>
      <c r="D3" s="17" t="s">
        <v>230</v>
      </c>
      <c r="E3" s="17" t="s">
        <v>230</v>
      </c>
    </row>
    <row r="4" spans="1:5" x14ac:dyDescent="0.45">
      <c r="A4" s="35" t="s">
        <v>67</v>
      </c>
      <c r="B4" s="6" t="s">
        <v>14</v>
      </c>
      <c r="C4" s="6" t="s">
        <v>222</v>
      </c>
      <c r="D4" s="17" t="s">
        <v>225</v>
      </c>
      <c r="E4" s="17" t="s">
        <v>225</v>
      </c>
    </row>
    <row r="5" spans="1:5" x14ac:dyDescent="0.45">
      <c r="A5" s="35" t="s">
        <v>219</v>
      </c>
      <c r="B5" s="6" t="s">
        <v>77</v>
      </c>
      <c r="C5" s="6" t="s">
        <v>222</v>
      </c>
      <c r="D5" s="17" t="s">
        <v>221</v>
      </c>
      <c r="E5" s="17" t="s">
        <v>221</v>
      </c>
    </row>
    <row r="6" spans="1:5" x14ac:dyDescent="0.45">
      <c r="A6" s="35" t="s">
        <v>141</v>
      </c>
      <c r="B6" s="6" t="s">
        <v>77</v>
      </c>
      <c r="C6" s="6" t="s">
        <v>142</v>
      </c>
      <c r="D6" s="17" t="s">
        <v>252</v>
      </c>
      <c r="E6" s="17" t="s">
        <v>251</v>
      </c>
    </row>
    <row r="7" spans="1:5" x14ac:dyDescent="0.45">
      <c r="A7" s="35" t="s">
        <v>253</v>
      </c>
      <c r="B7" s="6" t="s">
        <v>14</v>
      </c>
      <c r="C7" s="6" t="s">
        <v>216</v>
      </c>
      <c r="D7" s="17" t="s">
        <v>254</v>
      </c>
      <c r="E7" s="17" t="s">
        <v>255</v>
      </c>
    </row>
    <row r="8" spans="1:5" x14ac:dyDescent="0.45">
      <c r="A8" s="35" t="s">
        <v>218</v>
      </c>
      <c r="B8" s="6" t="s">
        <v>77</v>
      </c>
      <c r="C8" s="6" t="s">
        <v>222</v>
      </c>
      <c r="D8" s="17" t="s">
        <v>256</v>
      </c>
      <c r="E8" s="17" t="s">
        <v>256</v>
      </c>
    </row>
    <row r="9" spans="1:5" x14ac:dyDescent="0.45">
      <c r="A9" s="35" t="s">
        <v>212</v>
      </c>
      <c r="B9" s="6" t="s">
        <v>14</v>
      </c>
      <c r="C9" s="6" t="s">
        <v>216</v>
      </c>
      <c r="D9" s="17" t="s">
        <v>217</v>
      </c>
      <c r="E9" s="17" t="s">
        <v>217</v>
      </c>
    </row>
    <row r="10" spans="1:5" ht="28.5" x14ac:dyDescent="0.45">
      <c r="A10" s="35" t="s">
        <v>106</v>
      </c>
      <c r="B10" s="6" t="s">
        <v>77</v>
      </c>
      <c r="C10" s="6" t="s">
        <v>130</v>
      </c>
      <c r="D10" s="17" t="s">
        <v>270</v>
      </c>
      <c r="E10" s="17" t="s">
        <v>271</v>
      </c>
    </row>
    <row r="11" spans="1:5" ht="28.5" x14ac:dyDescent="0.45">
      <c r="A11" s="35" t="s">
        <v>275</v>
      </c>
      <c r="B11" s="6" t="s">
        <v>77</v>
      </c>
      <c r="C11" s="6" t="s">
        <v>130</v>
      </c>
      <c r="D11" s="17" t="s">
        <v>276</v>
      </c>
      <c r="E11" s="17" t="s">
        <v>277</v>
      </c>
    </row>
    <row r="12" spans="1:5" ht="57" x14ac:dyDescent="0.45">
      <c r="A12" s="36" t="s">
        <v>272</v>
      </c>
      <c r="B12" s="6" t="s">
        <v>77</v>
      </c>
      <c r="C12" s="6" t="s">
        <v>130</v>
      </c>
      <c r="D12" s="17" t="s">
        <v>273</v>
      </c>
      <c r="E12" s="17" t="s">
        <v>274</v>
      </c>
    </row>
    <row r="13" spans="1:5" x14ac:dyDescent="0.45">
      <c r="A13" s="35" t="s">
        <v>213</v>
      </c>
      <c r="B13" s="6" t="s">
        <v>14</v>
      </c>
      <c r="C13" s="6" t="s">
        <v>222</v>
      </c>
      <c r="D13" s="17" t="s">
        <v>226</v>
      </c>
      <c r="E13" s="17" t="s">
        <v>226</v>
      </c>
    </row>
    <row r="14" spans="1:5" x14ac:dyDescent="0.45">
      <c r="A14" s="35" t="s">
        <v>228</v>
      </c>
      <c r="B14" s="6" t="s">
        <v>14</v>
      </c>
      <c r="C14" s="6" t="s">
        <v>222</v>
      </c>
      <c r="D14" s="17" t="s">
        <v>227</v>
      </c>
      <c r="E14" s="17" t="s">
        <v>227</v>
      </c>
    </row>
    <row r="15" spans="1:5" x14ac:dyDescent="0.45">
      <c r="A15" s="9" t="s">
        <v>105</v>
      </c>
      <c r="B15" s="6" t="s">
        <v>77</v>
      </c>
      <c r="C15" s="6" t="s">
        <v>147</v>
      </c>
      <c r="D15" s="17" t="s">
        <v>229</v>
      </c>
      <c r="E15" s="17" t="s">
        <v>231</v>
      </c>
    </row>
    <row r="16" spans="1:5" x14ac:dyDescent="0.45">
      <c r="A16" s="6" t="s">
        <v>223</v>
      </c>
      <c r="B16" s="6" t="s">
        <v>77</v>
      </c>
      <c r="C16" s="6" t="s">
        <v>224</v>
      </c>
      <c r="D16" s="17" t="s">
        <v>232</v>
      </c>
      <c r="E16" s="17" t="s">
        <v>233</v>
      </c>
    </row>
    <row r="17" spans="1:5" s="20" customFormat="1" x14ac:dyDescent="0.45">
      <c r="A17" s="35" t="s">
        <v>234</v>
      </c>
      <c r="B17" s="35" t="s">
        <v>14</v>
      </c>
      <c r="C17" s="35" t="s">
        <v>29</v>
      </c>
      <c r="D17" s="37" t="s">
        <v>239</v>
      </c>
      <c r="E17" s="37" t="s">
        <v>239</v>
      </c>
    </row>
    <row r="18" spans="1:5" x14ac:dyDescent="0.45">
      <c r="A18" s="34" t="s">
        <v>235</v>
      </c>
      <c r="B18" s="6" t="s">
        <v>77</v>
      </c>
      <c r="C18" s="6" t="s">
        <v>222</v>
      </c>
      <c r="D18" s="34" t="s">
        <v>18</v>
      </c>
      <c r="E18" s="17" t="s">
        <v>240</v>
      </c>
    </row>
    <row r="19" spans="1:5" x14ac:dyDescent="0.45">
      <c r="A19" s="34" t="s">
        <v>236</v>
      </c>
      <c r="B19" s="6" t="s">
        <v>77</v>
      </c>
      <c r="C19" s="6" t="s">
        <v>222</v>
      </c>
      <c r="D19" s="34" t="s">
        <v>242</v>
      </c>
      <c r="E19" s="17" t="s">
        <v>241</v>
      </c>
    </row>
    <row r="20" spans="1:5" x14ac:dyDescent="0.45">
      <c r="A20" s="34" t="s">
        <v>237</v>
      </c>
      <c r="B20" s="6" t="s">
        <v>77</v>
      </c>
      <c r="C20" s="6" t="s">
        <v>222</v>
      </c>
      <c r="D20" s="34" t="s">
        <v>220</v>
      </c>
      <c r="E20" s="17" t="s">
        <v>243</v>
      </c>
    </row>
    <row r="21" spans="1:5" x14ac:dyDescent="0.45">
      <c r="A21" s="34" t="s">
        <v>238</v>
      </c>
      <c r="B21" s="6" t="s">
        <v>77</v>
      </c>
      <c r="C21" s="6" t="s">
        <v>147</v>
      </c>
      <c r="D21" s="34" t="s">
        <v>244</v>
      </c>
      <c r="E21" s="17" t="s">
        <v>245</v>
      </c>
    </row>
  </sheetData>
  <autoFilter ref="A1:E9" xr:uid="{FD4D5EE3-E5BC-48B0-8772-0AA9839A90B5}"/>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D8D9E-4C8F-4866-AD65-D95CCFA6E5A0}">
  <dimension ref="A1:E9"/>
  <sheetViews>
    <sheetView zoomScale="99" workbookViewId="0">
      <selection activeCell="B11" sqref="B11"/>
    </sheetView>
  </sheetViews>
  <sheetFormatPr defaultRowHeight="14.25" x14ac:dyDescent="0.45"/>
  <cols>
    <col min="1" max="1" width="36" customWidth="1"/>
    <col min="2" max="2" width="11.53125" customWidth="1"/>
    <col min="3" max="3" width="36.19921875" customWidth="1"/>
    <col min="4" max="4" width="39.6640625" customWidth="1"/>
    <col min="5" max="5" width="35.06640625" customWidth="1"/>
  </cols>
  <sheetData>
    <row r="1" spans="1:5" x14ac:dyDescent="0.45">
      <c r="A1" s="16" t="s">
        <v>9</v>
      </c>
      <c r="B1" s="16" t="s">
        <v>10</v>
      </c>
      <c r="C1" s="16" t="s">
        <v>11</v>
      </c>
      <c r="D1" s="16" t="s">
        <v>12</v>
      </c>
      <c r="E1" s="16" t="s">
        <v>13</v>
      </c>
    </row>
    <row r="2" spans="1:5" ht="28.5" x14ac:dyDescent="0.45">
      <c r="A2" s="6" t="s">
        <v>122</v>
      </c>
      <c r="B2" s="8" t="s">
        <v>120</v>
      </c>
      <c r="C2" s="8" t="s">
        <v>123</v>
      </c>
      <c r="D2" s="8" t="s">
        <v>123</v>
      </c>
      <c r="E2" s="8" t="s">
        <v>129</v>
      </c>
    </row>
    <row r="3" spans="1:5" ht="28.5" x14ac:dyDescent="0.45">
      <c r="A3" s="6" t="s">
        <v>141</v>
      </c>
      <c r="B3" s="8" t="s">
        <v>120</v>
      </c>
      <c r="C3" s="8" t="s">
        <v>142</v>
      </c>
      <c r="D3" s="8" t="s">
        <v>143</v>
      </c>
      <c r="E3" s="8" t="s">
        <v>144</v>
      </c>
    </row>
    <row r="4" spans="1:5" x14ac:dyDescent="0.45">
      <c r="A4" s="6" t="s">
        <v>106</v>
      </c>
      <c r="B4" s="8" t="s">
        <v>121</v>
      </c>
      <c r="C4" s="8" t="s">
        <v>130</v>
      </c>
      <c r="D4" s="28" t="s">
        <v>124</v>
      </c>
      <c r="E4" s="28" t="s">
        <v>124</v>
      </c>
    </row>
    <row r="5" spans="1:5" x14ac:dyDescent="0.45">
      <c r="A5" s="6" t="s">
        <v>151</v>
      </c>
      <c r="B5" s="8" t="s">
        <v>121</v>
      </c>
      <c r="C5" s="8" t="s">
        <v>138</v>
      </c>
      <c r="D5" s="28" t="s">
        <v>125</v>
      </c>
      <c r="E5" s="28" t="s">
        <v>125</v>
      </c>
    </row>
    <row r="6" spans="1:5" ht="28.5" x14ac:dyDescent="0.45">
      <c r="A6" s="6" t="s">
        <v>149</v>
      </c>
      <c r="B6" s="8" t="s">
        <v>77</v>
      </c>
      <c r="C6" s="27" t="s">
        <v>131</v>
      </c>
      <c r="D6" s="28" t="s">
        <v>127</v>
      </c>
      <c r="E6" s="28" t="s">
        <v>126</v>
      </c>
    </row>
    <row r="7" spans="1:5" x14ac:dyDescent="0.45">
      <c r="A7" s="29" t="s">
        <v>132</v>
      </c>
      <c r="B7" s="30" t="s">
        <v>14</v>
      </c>
      <c r="C7" s="30" t="s">
        <v>29</v>
      </c>
      <c r="D7" s="31" t="s">
        <v>140</v>
      </c>
      <c r="E7" s="28" t="s">
        <v>134</v>
      </c>
    </row>
    <row r="8" spans="1:5" ht="28.5" x14ac:dyDescent="0.45">
      <c r="A8" s="6" t="s">
        <v>145</v>
      </c>
      <c r="B8" s="8" t="s">
        <v>120</v>
      </c>
      <c r="C8" s="8" t="s">
        <v>142</v>
      </c>
      <c r="D8" s="8" t="s">
        <v>143</v>
      </c>
      <c r="E8" s="8" t="s">
        <v>146</v>
      </c>
    </row>
    <row r="9" spans="1:5" ht="28.5" x14ac:dyDescent="0.45">
      <c r="A9" s="6" t="s">
        <v>150</v>
      </c>
      <c r="B9" s="8" t="s">
        <v>120</v>
      </c>
      <c r="C9" s="27" t="s">
        <v>148</v>
      </c>
      <c r="D9" s="28" t="s">
        <v>127</v>
      </c>
      <c r="E9" s="28" t="s">
        <v>133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17</vt:i4>
      </vt:variant>
    </vt:vector>
  </HeadingPairs>
  <TitlesOfParts>
    <vt:vector size="17" baseType="lpstr">
      <vt:lpstr>ConceptMaps</vt:lpstr>
      <vt:lpstr>LogicalModels</vt:lpstr>
      <vt:lpstr>HealthIndicatorsOah2FHIR</vt:lpstr>
      <vt:lpstr>HealthIndicatorsOah</vt:lpstr>
      <vt:lpstr>IndicatorsOah2FHIR</vt:lpstr>
      <vt:lpstr>IndicatorsOah</vt:lpstr>
      <vt:lpstr>HealthMeasureOah2FHIR</vt:lpstr>
      <vt:lpstr>HealthMeasureOah</vt:lpstr>
      <vt:lpstr>SimpleIndicatorOah2FHIR</vt:lpstr>
      <vt:lpstr>SimpleIndicatorOah</vt:lpstr>
      <vt:lpstr>StructuredIndicatorOah2FHIR</vt:lpstr>
      <vt:lpstr>StructuredIndicatorOah</vt:lpstr>
      <vt:lpstr>SampleOah2FHIR</vt:lpstr>
      <vt:lpstr>SampleOah</vt:lpstr>
      <vt:lpstr>DataSetOah2FHIR</vt:lpstr>
      <vt:lpstr>DataSetOah</vt:lpstr>
      <vt:lpstr>IndicatorOah-notUsed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Giorgio Cangioli</cp:lastModifiedBy>
  <dcterms:created xsi:type="dcterms:W3CDTF">2024-09-16T10:51:32Z</dcterms:created>
  <dcterms:modified xsi:type="dcterms:W3CDTF">2026-02-02T16:55:53Z</dcterms:modified>
</cp:coreProperties>
</file>